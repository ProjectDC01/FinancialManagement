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-210" yWindow="630" windowWidth="23940" windowHeight="11505"/>
  </bookViews>
  <sheets>
    <sheet name="検索" sheetId="1" r:id="rId1"/>
    <sheet name="財産管理" sheetId="2" r:id="rId2"/>
    <sheet name="基金" sheetId="6" r:id="rId3"/>
    <sheet name="収入" sheetId="4" r:id="rId4"/>
    <sheet name="融資" sheetId="3" r:id="rId5"/>
    <sheet name="保守" sheetId="7" r:id="rId6"/>
    <sheet name="一時保管" sheetId="8" r:id="rId7"/>
  </sheets>
  <definedNames>
    <definedName name="検索＿残高">OFFSET(検索!$U$5,0,0,COUNT(検索!$U$5:$U$627),1)</definedName>
    <definedName name="財務管理＿残高" localSheetId="1">OFFSET(財産管理!$K$7,0,0,COUNT(財産管理!$K1048563:XEW615),1)</definedName>
  </definedNames>
  <calcPr calcId="152511" calcMode="manual"/>
</workbook>
</file>

<file path=xl/calcChain.xml><?xml version="1.0" encoding="utf-8"?>
<calcChain xmlns="http://schemas.openxmlformats.org/spreadsheetml/2006/main">
  <c r="O9" i="4" l="1"/>
  <c r="Q9" i="2"/>
  <c r="M36" i="2" l="1"/>
  <c r="M44" i="2" l="1"/>
  <c r="M45" i="2"/>
  <c r="M46" i="2"/>
  <c r="M47" i="2"/>
  <c r="M48" i="2"/>
  <c r="M49" i="2"/>
  <c r="M50" i="2"/>
  <c r="M51" i="2"/>
  <c r="M52" i="2"/>
  <c r="M53" i="2"/>
  <c r="M54" i="2"/>
  <c r="M55" i="2"/>
  <c r="M37" i="2"/>
  <c r="M38" i="2"/>
  <c r="M39" i="2"/>
  <c r="M40" i="2"/>
  <c r="M41" i="2"/>
  <c r="M42" i="2"/>
  <c r="M43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S63" i="2" l="1"/>
  <c r="S64" i="2"/>
  <c r="S65" i="2"/>
  <c r="S66" i="2"/>
  <c r="S67" i="2"/>
  <c r="D2" i="3" l="1"/>
  <c r="D2" i="4"/>
  <c r="D2" i="6"/>
  <c r="W5" i="1" l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S16" i="2"/>
  <c r="S17" i="2"/>
  <c r="X5" i="1" s="1"/>
  <c r="S18" i="2"/>
  <c r="X6" i="1" s="1"/>
  <c r="S19" i="2"/>
  <c r="X7" i="1" s="1"/>
  <c r="S20" i="2"/>
  <c r="X8" i="1" s="1"/>
  <c r="S21" i="2"/>
  <c r="X9" i="1" s="1"/>
  <c r="S47" i="2"/>
  <c r="X35" i="1" s="1"/>
  <c r="S48" i="2"/>
  <c r="X36" i="1" s="1"/>
  <c r="S49" i="2"/>
  <c r="X37" i="1" s="1"/>
  <c r="S50" i="2"/>
  <c r="X38" i="1" s="1"/>
  <c r="S51" i="2"/>
  <c r="X39" i="1" s="1"/>
  <c r="S52" i="2"/>
  <c r="X40" i="1" s="1"/>
  <c r="S53" i="2"/>
  <c r="X41" i="1" s="1"/>
  <c r="S54" i="2"/>
  <c r="X42" i="1" s="1"/>
  <c r="S55" i="2"/>
  <c r="X43" i="1" s="1"/>
  <c r="S56" i="2"/>
  <c r="X44" i="1" s="1"/>
  <c r="S57" i="2"/>
  <c r="X45" i="1" s="1"/>
  <c r="S58" i="2"/>
  <c r="X46" i="1" s="1"/>
  <c r="S59" i="2"/>
  <c r="X47" i="1" s="1"/>
  <c r="S60" i="2"/>
  <c r="X48" i="1" s="1"/>
  <c r="S61" i="2"/>
  <c r="X49" i="1" s="1"/>
  <c r="S62" i="2"/>
  <c r="X50" i="1" s="1"/>
  <c r="X51" i="1"/>
  <c r="X52" i="1"/>
  <c r="X53" i="1"/>
  <c r="X54" i="1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AA11" i="1" l="1"/>
  <c r="AA9" i="1"/>
  <c r="AA12" i="1"/>
  <c r="AA10" i="1"/>
  <c r="W4" i="1"/>
  <c r="M632" i="2" l="1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S22" i="2" l="1"/>
  <c r="X10" i="1" s="1"/>
  <c r="S23" i="2"/>
  <c r="X11" i="1" s="1"/>
  <c r="S24" i="2"/>
  <c r="X12" i="1" s="1"/>
  <c r="S25" i="2"/>
  <c r="X13" i="1" s="1"/>
  <c r="S26" i="2"/>
  <c r="X14" i="1" s="1"/>
  <c r="S27" i="2"/>
  <c r="X15" i="1" s="1"/>
  <c r="S28" i="2"/>
  <c r="X16" i="1" s="1"/>
  <c r="S29" i="2"/>
  <c r="X17" i="1" s="1"/>
  <c r="S30" i="2"/>
  <c r="X18" i="1" s="1"/>
  <c r="S31" i="2"/>
  <c r="X19" i="1" s="1"/>
  <c r="S32" i="2"/>
  <c r="X20" i="1" s="1"/>
  <c r="S33" i="2"/>
  <c r="X21" i="1" s="1"/>
  <c r="S34" i="2"/>
  <c r="X22" i="1" s="1"/>
  <c r="S35" i="2"/>
  <c r="X23" i="1" s="1"/>
  <c r="S36" i="2"/>
  <c r="X24" i="1" s="1"/>
  <c r="S37" i="2"/>
  <c r="X25" i="1" s="1"/>
  <c r="S38" i="2"/>
  <c r="X26" i="1" s="1"/>
  <c r="S39" i="2"/>
  <c r="X27" i="1" s="1"/>
  <c r="S40" i="2"/>
  <c r="X28" i="1" s="1"/>
  <c r="S41" i="2"/>
  <c r="X29" i="1" s="1"/>
  <c r="S42" i="2"/>
  <c r="X30" i="1" s="1"/>
  <c r="S43" i="2"/>
  <c r="X31" i="1" s="1"/>
  <c r="S44" i="2"/>
  <c r="X32" i="1" s="1"/>
  <c r="S45" i="2"/>
  <c r="X33" i="1" s="1"/>
  <c r="S46" i="2"/>
  <c r="X34" i="1" s="1"/>
  <c r="X4" i="1"/>
  <c r="AA4" i="1" s="1"/>
  <c r="Q7" i="2"/>
  <c r="R7" i="2"/>
  <c r="R9" i="2"/>
  <c r="K7" i="2"/>
  <c r="K8" i="2" l="1"/>
  <c r="AA8" i="1"/>
  <c r="AA7" i="1"/>
  <c r="AA6" i="1"/>
  <c r="AA5" i="1"/>
  <c r="U5" i="1"/>
  <c r="U6" i="1" l="1"/>
  <c r="K9" i="2"/>
  <c r="K10" i="2" l="1"/>
  <c r="U7" i="1"/>
  <c r="K11" i="2"/>
  <c r="U8" i="1"/>
  <c r="N9" i="4"/>
  <c r="N7" i="4"/>
  <c r="O7" i="4"/>
  <c r="K12" i="2" l="1"/>
  <c r="U9" i="1"/>
  <c r="K13" i="2" l="1"/>
  <c r="U10" i="1"/>
  <c r="P12" i="2"/>
  <c r="K14" i="2" l="1"/>
  <c r="U11" i="1"/>
  <c r="K15" i="2" l="1"/>
  <c r="U12" i="1"/>
  <c r="K16" i="2" l="1"/>
  <c r="K17" i="2" s="1"/>
  <c r="K18" i="2" s="1"/>
  <c r="K19" i="2" s="1"/>
  <c r="K20" i="2" s="1"/>
  <c r="K21" i="2" s="1"/>
  <c r="K22" i="2" s="1"/>
  <c r="U13" i="1"/>
  <c r="U14" i="1" l="1"/>
  <c r="U15" i="1" l="1"/>
  <c r="U16" i="1" l="1"/>
  <c r="U17" i="1" l="1"/>
  <c r="U18" i="1" l="1"/>
  <c r="U19" i="1" l="1"/>
  <c r="U20" i="1" l="1"/>
  <c r="K23" i="2"/>
  <c r="K24" i="2" l="1"/>
  <c r="K25" i="2" s="1"/>
  <c r="K26" i="2" s="1"/>
  <c r="K27" i="2" s="1"/>
  <c r="K28" i="2" s="1"/>
  <c r="K29" i="2" s="1"/>
  <c r="K30" i="2" s="1"/>
  <c r="K31" i="2" s="1"/>
  <c r="K32" i="2" s="1"/>
  <c r="U21" i="1"/>
  <c r="U22" i="1" l="1"/>
  <c r="U23" i="1" l="1"/>
  <c r="U24" i="1" l="1"/>
  <c r="U25" i="1" l="1"/>
  <c r="U26" i="1" l="1"/>
  <c r="U27" i="1" l="1"/>
  <c r="U28" i="1" l="1"/>
  <c r="U29" i="1" l="1"/>
  <c r="K33" i="2" l="1"/>
  <c r="U30" i="1"/>
  <c r="K34" i="2" l="1"/>
  <c r="U31" i="1"/>
  <c r="K35" i="2" l="1"/>
  <c r="U32" i="1"/>
  <c r="K36" i="2" l="1"/>
  <c r="U33" i="1"/>
  <c r="K37" i="2" l="1"/>
  <c r="U34" i="1"/>
  <c r="K38" i="2" l="1"/>
  <c r="U35" i="1"/>
  <c r="K39" i="2" l="1"/>
  <c r="U36" i="1"/>
  <c r="K40" i="2" l="1"/>
  <c r="U37" i="1"/>
  <c r="K41" i="2" l="1"/>
  <c r="U38" i="1"/>
  <c r="K42" i="2" l="1"/>
  <c r="U39" i="1"/>
  <c r="K43" i="2" l="1"/>
  <c r="U40" i="1"/>
  <c r="K44" i="2" l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U41" i="1"/>
  <c r="U42" i="1" l="1"/>
  <c r="U43" i="1" l="1"/>
  <c r="U44" i="1" l="1"/>
  <c r="U45" i="1" l="1"/>
  <c r="U46" i="1" l="1"/>
  <c r="K55" i="2" l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156" i="2" s="1"/>
  <c r="K157" i="2" s="1"/>
  <c r="K158" i="2" s="1"/>
  <c r="K159" i="2" s="1"/>
  <c r="K160" i="2" s="1"/>
  <c r="K161" i="2" s="1"/>
  <c r="K162" i="2" s="1"/>
  <c r="K163" i="2" s="1"/>
  <c r="K164" i="2" s="1"/>
  <c r="K165" i="2" s="1"/>
  <c r="K166" i="2" s="1"/>
  <c r="K167" i="2" s="1"/>
  <c r="K168" i="2" s="1"/>
  <c r="K169" i="2" s="1"/>
  <c r="K170" i="2" s="1"/>
  <c r="K171" i="2" s="1"/>
  <c r="K172" i="2" s="1"/>
  <c r="K173" i="2" s="1"/>
  <c r="K174" i="2" s="1"/>
  <c r="K175" i="2" s="1"/>
  <c r="K176" i="2" s="1"/>
  <c r="K177" i="2" s="1"/>
  <c r="K178" i="2" s="1"/>
  <c r="K179" i="2" s="1"/>
  <c r="K180" i="2" s="1"/>
  <c r="K181" i="2" s="1"/>
  <c r="K182" i="2" s="1"/>
  <c r="K183" i="2" s="1"/>
  <c r="K184" i="2" s="1"/>
  <c r="K185" i="2" s="1"/>
  <c r="K186" i="2" s="1"/>
  <c r="K187" i="2" s="1"/>
  <c r="K188" i="2" s="1"/>
  <c r="K189" i="2" s="1"/>
  <c r="K190" i="2" s="1"/>
  <c r="K191" i="2" s="1"/>
  <c r="K192" i="2" s="1"/>
  <c r="K193" i="2" s="1"/>
  <c r="K194" i="2" s="1"/>
  <c r="K195" i="2" s="1"/>
  <c r="K196" i="2" s="1"/>
  <c r="K197" i="2" s="1"/>
  <c r="K198" i="2" s="1"/>
  <c r="K199" i="2" s="1"/>
  <c r="K200" i="2" s="1"/>
  <c r="K201" i="2" s="1"/>
  <c r="K202" i="2" s="1"/>
  <c r="K203" i="2" s="1"/>
  <c r="K204" i="2" s="1"/>
  <c r="K205" i="2" s="1"/>
  <c r="K206" i="2" s="1"/>
  <c r="K207" i="2" s="1"/>
  <c r="K208" i="2" s="1"/>
  <c r="K209" i="2" s="1"/>
  <c r="K210" i="2" s="1"/>
  <c r="K211" i="2" s="1"/>
  <c r="K212" i="2" s="1"/>
  <c r="K213" i="2" s="1"/>
  <c r="K214" i="2" s="1"/>
  <c r="K215" i="2" s="1"/>
  <c r="K216" i="2" s="1"/>
  <c r="K217" i="2" s="1"/>
  <c r="K218" i="2" s="1"/>
  <c r="K219" i="2" s="1"/>
  <c r="K220" i="2" s="1"/>
  <c r="K221" i="2" s="1"/>
  <c r="K222" i="2" s="1"/>
  <c r="K223" i="2" s="1"/>
  <c r="K224" i="2" s="1"/>
  <c r="K225" i="2" s="1"/>
  <c r="K226" i="2" s="1"/>
  <c r="K227" i="2" s="1"/>
  <c r="K228" i="2" s="1"/>
  <c r="K229" i="2" s="1"/>
  <c r="K230" i="2" s="1"/>
  <c r="K231" i="2" s="1"/>
  <c r="K232" i="2" s="1"/>
  <c r="K233" i="2" s="1"/>
  <c r="K234" i="2" s="1"/>
  <c r="K235" i="2" s="1"/>
  <c r="K236" i="2" s="1"/>
  <c r="K237" i="2" s="1"/>
  <c r="K238" i="2" s="1"/>
  <c r="K239" i="2" s="1"/>
  <c r="K240" i="2" s="1"/>
  <c r="K241" i="2" s="1"/>
  <c r="K242" i="2" s="1"/>
  <c r="K243" i="2" s="1"/>
  <c r="K244" i="2" s="1"/>
  <c r="K245" i="2" s="1"/>
  <c r="K246" i="2" s="1"/>
  <c r="K247" i="2" s="1"/>
  <c r="K248" i="2" s="1"/>
  <c r="K249" i="2" s="1"/>
  <c r="K250" i="2" s="1"/>
  <c r="K251" i="2" s="1"/>
  <c r="K252" i="2" s="1"/>
  <c r="K253" i="2" s="1"/>
  <c r="K254" i="2" s="1"/>
  <c r="K255" i="2" s="1"/>
  <c r="K256" i="2" s="1"/>
  <c r="K257" i="2" s="1"/>
  <c r="K258" i="2" s="1"/>
  <c r="K259" i="2" s="1"/>
  <c r="K260" i="2" s="1"/>
  <c r="K261" i="2" s="1"/>
  <c r="K262" i="2" s="1"/>
  <c r="K263" i="2" s="1"/>
  <c r="K264" i="2" s="1"/>
  <c r="K265" i="2" s="1"/>
  <c r="K266" i="2" s="1"/>
  <c r="K267" i="2" s="1"/>
  <c r="K268" i="2" s="1"/>
  <c r="K269" i="2" s="1"/>
  <c r="K270" i="2" s="1"/>
  <c r="K271" i="2" s="1"/>
  <c r="K272" i="2" s="1"/>
  <c r="K273" i="2" s="1"/>
  <c r="K274" i="2" s="1"/>
  <c r="K275" i="2" s="1"/>
  <c r="K276" i="2" s="1"/>
  <c r="K277" i="2" s="1"/>
  <c r="K278" i="2" s="1"/>
  <c r="K279" i="2" s="1"/>
  <c r="K280" i="2" s="1"/>
  <c r="K281" i="2" s="1"/>
  <c r="K282" i="2" s="1"/>
  <c r="K283" i="2" s="1"/>
  <c r="K284" i="2" s="1"/>
  <c r="K285" i="2" s="1"/>
  <c r="K286" i="2" s="1"/>
  <c r="K287" i="2" s="1"/>
  <c r="K288" i="2" s="1"/>
  <c r="K289" i="2" s="1"/>
  <c r="K290" i="2" s="1"/>
  <c r="K291" i="2" s="1"/>
  <c r="K292" i="2" s="1"/>
  <c r="K293" i="2" s="1"/>
  <c r="K294" i="2" s="1"/>
  <c r="K295" i="2" s="1"/>
  <c r="K296" i="2" s="1"/>
  <c r="K297" i="2" s="1"/>
  <c r="K298" i="2" s="1"/>
  <c r="K299" i="2" s="1"/>
  <c r="K300" i="2" s="1"/>
  <c r="K301" i="2" s="1"/>
  <c r="K302" i="2" s="1"/>
  <c r="K303" i="2" s="1"/>
  <c r="K304" i="2" s="1"/>
  <c r="K305" i="2" s="1"/>
  <c r="K306" i="2" s="1"/>
  <c r="K307" i="2" s="1"/>
  <c r="K308" i="2" s="1"/>
  <c r="K309" i="2" s="1"/>
  <c r="K310" i="2" s="1"/>
  <c r="K311" i="2" s="1"/>
  <c r="K312" i="2" s="1"/>
  <c r="K313" i="2" s="1"/>
  <c r="K314" i="2" s="1"/>
  <c r="K315" i="2" s="1"/>
  <c r="K316" i="2" s="1"/>
  <c r="K317" i="2" s="1"/>
  <c r="K318" i="2" s="1"/>
  <c r="K319" i="2" s="1"/>
  <c r="K320" i="2" s="1"/>
  <c r="K321" i="2" s="1"/>
  <c r="K322" i="2" s="1"/>
  <c r="K323" i="2" s="1"/>
  <c r="K324" i="2" s="1"/>
  <c r="K325" i="2" s="1"/>
  <c r="K326" i="2" s="1"/>
  <c r="K327" i="2" s="1"/>
  <c r="K328" i="2" s="1"/>
  <c r="K329" i="2" s="1"/>
  <c r="K330" i="2" s="1"/>
  <c r="K331" i="2" s="1"/>
  <c r="K332" i="2" s="1"/>
  <c r="K333" i="2" s="1"/>
  <c r="K334" i="2" s="1"/>
  <c r="K335" i="2" s="1"/>
  <c r="K336" i="2" s="1"/>
  <c r="K337" i="2" s="1"/>
  <c r="K338" i="2" s="1"/>
  <c r="K339" i="2" s="1"/>
  <c r="K340" i="2" s="1"/>
  <c r="K341" i="2" s="1"/>
  <c r="K342" i="2" s="1"/>
  <c r="K343" i="2" s="1"/>
  <c r="K344" i="2" s="1"/>
  <c r="K345" i="2" s="1"/>
  <c r="K346" i="2" s="1"/>
  <c r="K347" i="2" s="1"/>
  <c r="K348" i="2" s="1"/>
  <c r="K349" i="2" s="1"/>
  <c r="K350" i="2" s="1"/>
  <c r="K351" i="2" s="1"/>
  <c r="K352" i="2" s="1"/>
  <c r="K353" i="2" s="1"/>
  <c r="K354" i="2" s="1"/>
  <c r="K355" i="2" s="1"/>
  <c r="K356" i="2" s="1"/>
  <c r="K357" i="2" s="1"/>
  <c r="K358" i="2" s="1"/>
  <c r="K359" i="2" s="1"/>
  <c r="K360" i="2" s="1"/>
  <c r="K361" i="2" s="1"/>
  <c r="K362" i="2" s="1"/>
  <c r="K363" i="2" s="1"/>
  <c r="K364" i="2" s="1"/>
  <c r="K365" i="2" s="1"/>
  <c r="K366" i="2" s="1"/>
  <c r="K367" i="2" s="1"/>
  <c r="K368" i="2" s="1"/>
  <c r="K369" i="2" s="1"/>
  <c r="K370" i="2" s="1"/>
  <c r="K371" i="2" s="1"/>
  <c r="K372" i="2" s="1"/>
  <c r="K373" i="2" s="1"/>
  <c r="K374" i="2" s="1"/>
  <c r="K375" i="2" s="1"/>
  <c r="K376" i="2" s="1"/>
  <c r="K377" i="2" s="1"/>
  <c r="K378" i="2" s="1"/>
  <c r="K379" i="2" s="1"/>
  <c r="K380" i="2" s="1"/>
  <c r="K381" i="2" s="1"/>
  <c r="K382" i="2" s="1"/>
  <c r="K383" i="2" s="1"/>
  <c r="K384" i="2" s="1"/>
  <c r="K385" i="2" s="1"/>
  <c r="K386" i="2" s="1"/>
  <c r="K387" i="2" s="1"/>
  <c r="K388" i="2" s="1"/>
  <c r="K389" i="2" s="1"/>
  <c r="K390" i="2" s="1"/>
  <c r="K391" i="2" s="1"/>
  <c r="K392" i="2" s="1"/>
  <c r="K393" i="2" s="1"/>
  <c r="K394" i="2" s="1"/>
  <c r="K395" i="2" s="1"/>
  <c r="K396" i="2" s="1"/>
  <c r="K397" i="2" s="1"/>
  <c r="K398" i="2" s="1"/>
  <c r="K399" i="2" s="1"/>
  <c r="K400" i="2" s="1"/>
  <c r="K401" i="2" s="1"/>
  <c r="K402" i="2" s="1"/>
  <c r="K403" i="2" s="1"/>
  <c r="K404" i="2" s="1"/>
  <c r="K405" i="2" s="1"/>
  <c r="K406" i="2" s="1"/>
  <c r="K407" i="2" s="1"/>
  <c r="K408" i="2" s="1"/>
  <c r="K409" i="2" s="1"/>
  <c r="K410" i="2" s="1"/>
  <c r="K411" i="2" s="1"/>
  <c r="K412" i="2" s="1"/>
  <c r="K413" i="2" s="1"/>
  <c r="K414" i="2" s="1"/>
  <c r="K415" i="2" s="1"/>
  <c r="K416" i="2" s="1"/>
  <c r="K417" i="2" s="1"/>
  <c r="K418" i="2" s="1"/>
  <c r="K419" i="2" s="1"/>
  <c r="K420" i="2" s="1"/>
  <c r="K421" i="2" s="1"/>
  <c r="K422" i="2" s="1"/>
  <c r="K423" i="2" s="1"/>
  <c r="K424" i="2" s="1"/>
  <c r="K425" i="2" s="1"/>
  <c r="K426" i="2" s="1"/>
  <c r="K427" i="2" s="1"/>
  <c r="K428" i="2" s="1"/>
  <c r="K429" i="2" s="1"/>
  <c r="K430" i="2" s="1"/>
  <c r="K431" i="2" s="1"/>
  <c r="K432" i="2" s="1"/>
  <c r="K433" i="2" s="1"/>
  <c r="K434" i="2" s="1"/>
  <c r="K435" i="2" s="1"/>
  <c r="K436" i="2" s="1"/>
  <c r="K437" i="2" s="1"/>
  <c r="K438" i="2" s="1"/>
  <c r="K439" i="2" s="1"/>
  <c r="K440" i="2" s="1"/>
  <c r="K441" i="2" s="1"/>
  <c r="K442" i="2" s="1"/>
  <c r="K443" i="2" s="1"/>
  <c r="K444" i="2" s="1"/>
  <c r="K445" i="2" s="1"/>
  <c r="K446" i="2" s="1"/>
  <c r="K447" i="2" s="1"/>
  <c r="K448" i="2" s="1"/>
  <c r="K449" i="2" s="1"/>
  <c r="K450" i="2" s="1"/>
  <c r="K451" i="2" s="1"/>
  <c r="K452" i="2" s="1"/>
  <c r="K453" i="2" s="1"/>
  <c r="K454" i="2" s="1"/>
  <c r="K455" i="2" s="1"/>
  <c r="K456" i="2" s="1"/>
  <c r="K457" i="2" s="1"/>
  <c r="K458" i="2" s="1"/>
  <c r="K459" i="2" s="1"/>
  <c r="K460" i="2" s="1"/>
  <c r="K461" i="2" s="1"/>
  <c r="K462" i="2" s="1"/>
  <c r="K463" i="2" s="1"/>
  <c r="K464" i="2" s="1"/>
  <c r="K465" i="2" s="1"/>
  <c r="K466" i="2" s="1"/>
  <c r="K467" i="2" s="1"/>
  <c r="K468" i="2" s="1"/>
  <c r="K469" i="2" s="1"/>
  <c r="K470" i="2" s="1"/>
  <c r="K471" i="2" s="1"/>
  <c r="K472" i="2" s="1"/>
  <c r="K473" i="2" s="1"/>
  <c r="K474" i="2" s="1"/>
  <c r="K475" i="2" s="1"/>
  <c r="K476" i="2" s="1"/>
  <c r="K477" i="2" s="1"/>
  <c r="K478" i="2" s="1"/>
  <c r="K479" i="2" s="1"/>
  <c r="K480" i="2" s="1"/>
  <c r="K481" i="2" s="1"/>
  <c r="K482" i="2" s="1"/>
  <c r="K483" i="2" s="1"/>
  <c r="K484" i="2" s="1"/>
  <c r="K485" i="2" s="1"/>
  <c r="K486" i="2" s="1"/>
  <c r="K487" i="2" s="1"/>
  <c r="K488" i="2" s="1"/>
  <c r="K489" i="2" s="1"/>
  <c r="K490" i="2" s="1"/>
  <c r="K491" i="2" s="1"/>
  <c r="K492" i="2" s="1"/>
  <c r="K493" i="2" s="1"/>
  <c r="K494" i="2" s="1"/>
  <c r="K495" i="2" s="1"/>
  <c r="K496" i="2" s="1"/>
  <c r="K497" i="2" s="1"/>
  <c r="K498" i="2" s="1"/>
  <c r="K499" i="2" s="1"/>
  <c r="K500" i="2" s="1"/>
  <c r="K501" i="2" s="1"/>
  <c r="K502" i="2" s="1"/>
  <c r="K503" i="2" s="1"/>
  <c r="K504" i="2" s="1"/>
  <c r="K505" i="2" s="1"/>
  <c r="K506" i="2" s="1"/>
  <c r="K507" i="2" s="1"/>
  <c r="K508" i="2" s="1"/>
  <c r="K509" i="2" s="1"/>
  <c r="K510" i="2" s="1"/>
  <c r="K511" i="2" s="1"/>
  <c r="K512" i="2" s="1"/>
  <c r="K513" i="2" s="1"/>
  <c r="K514" i="2" s="1"/>
  <c r="K515" i="2" s="1"/>
  <c r="K516" i="2" s="1"/>
  <c r="K517" i="2" s="1"/>
  <c r="K518" i="2" s="1"/>
  <c r="K519" i="2" s="1"/>
  <c r="K520" i="2" s="1"/>
  <c r="K521" i="2" s="1"/>
  <c r="K522" i="2" s="1"/>
  <c r="K523" i="2" s="1"/>
  <c r="K524" i="2" s="1"/>
  <c r="K525" i="2" s="1"/>
  <c r="K526" i="2" s="1"/>
  <c r="K527" i="2" s="1"/>
  <c r="K528" i="2" s="1"/>
  <c r="K529" i="2" s="1"/>
  <c r="K530" i="2" s="1"/>
  <c r="K531" i="2" s="1"/>
  <c r="K532" i="2" s="1"/>
  <c r="K533" i="2" s="1"/>
  <c r="K534" i="2" s="1"/>
  <c r="K535" i="2" s="1"/>
  <c r="K536" i="2" s="1"/>
  <c r="K537" i="2" s="1"/>
  <c r="K538" i="2" s="1"/>
  <c r="K539" i="2" s="1"/>
  <c r="K540" i="2" s="1"/>
  <c r="K541" i="2" s="1"/>
  <c r="K542" i="2" s="1"/>
  <c r="K543" i="2" s="1"/>
  <c r="K544" i="2" s="1"/>
  <c r="K545" i="2" s="1"/>
  <c r="K546" i="2" s="1"/>
  <c r="K547" i="2" s="1"/>
  <c r="K548" i="2" s="1"/>
  <c r="K549" i="2" s="1"/>
  <c r="K550" i="2" s="1"/>
  <c r="K551" i="2" s="1"/>
  <c r="K552" i="2" s="1"/>
  <c r="K553" i="2" s="1"/>
  <c r="K554" i="2" s="1"/>
  <c r="K555" i="2" s="1"/>
  <c r="K556" i="2" s="1"/>
  <c r="K557" i="2" s="1"/>
  <c r="K558" i="2" s="1"/>
  <c r="K559" i="2" s="1"/>
  <c r="K560" i="2" s="1"/>
  <c r="K561" i="2" s="1"/>
  <c r="K562" i="2" s="1"/>
  <c r="K563" i="2" s="1"/>
  <c r="K564" i="2" s="1"/>
  <c r="K565" i="2" s="1"/>
  <c r="K566" i="2" s="1"/>
  <c r="K567" i="2" s="1"/>
  <c r="K568" i="2" s="1"/>
  <c r="K569" i="2" s="1"/>
  <c r="K570" i="2" s="1"/>
  <c r="K571" i="2" s="1"/>
  <c r="K572" i="2" s="1"/>
  <c r="K573" i="2" s="1"/>
  <c r="K574" i="2" s="1"/>
  <c r="K575" i="2" s="1"/>
  <c r="K576" i="2" s="1"/>
  <c r="K577" i="2" s="1"/>
  <c r="K578" i="2" s="1"/>
  <c r="K579" i="2" s="1"/>
  <c r="K580" i="2" s="1"/>
  <c r="K581" i="2" s="1"/>
  <c r="K582" i="2" s="1"/>
  <c r="K583" i="2" s="1"/>
  <c r="K584" i="2" s="1"/>
  <c r="K585" i="2" s="1"/>
  <c r="K586" i="2" s="1"/>
  <c r="K587" i="2" s="1"/>
  <c r="K588" i="2" s="1"/>
  <c r="K589" i="2" s="1"/>
  <c r="K590" i="2" s="1"/>
  <c r="K591" i="2" s="1"/>
  <c r="K592" i="2" s="1"/>
  <c r="K593" i="2" s="1"/>
  <c r="K594" i="2" s="1"/>
  <c r="K595" i="2" s="1"/>
  <c r="K596" i="2" s="1"/>
  <c r="K597" i="2" s="1"/>
  <c r="K598" i="2" s="1"/>
  <c r="K599" i="2" s="1"/>
  <c r="K600" i="2" s="1"/>
  <c r="K601" i="2" s="1"/>
  <c r="K602" i="2" s="1"/>
  <c r="K603" i="2" s="1"/>
  <c r="K604" i="2" s="1"/>
  <c r="K605" i="2" s="1"/>
  <c r="K606" i="2" s="1"/>
  <c r="K607" i="2" s="1"/>
  <c r="K608" i="2" s="1"/>
  <c r="K609" i="2" s="1"/>
  <c r="K610" i="2" s="1"/>
  <c r="K611" i="2" s="1"/>
  <c r="K612" i="2" s="1"/>
  <c r="K613" i="2" s="1"/>
  <c r="K614" i="2" s="1"/>
  <c r="K615" i="2" s="1"/>
  <c r="K616" i="2" s="1"/>
  <c r="K617" i="2" s="1"/>
  <c r="K618" i="2" s="1"/>
  <c r="K619" i="2" s="1"/>
  <c r="K620" i="2" s="1"/>
  <c r="K621" i="2" s="1"/>
  <c r="K622" i="2" s="1"/>
  <c r="K623" i="2" s="1"/>
  <c r="K624" i="2" s="1"/>
  <c r="K625" i="2" s="1"/>
  <c r="K626" i="2" s="1"/>
  <c r="K627" i="2" s="1"/>
  <c r="K628" i="2" s="1"/>
  <c r="K629" i="2" s="1"/>
  <c r="K630" i="2" s="1"/>
  <c r="U47" i="1"/>
  <c r="K631" i="2" l="1"/>
  <c r="K632" i="2" s="1"/>
  <c r="K633" i="2" s="1"/>
  <c r="K634" i="2" s="1"/>
  <c r="K635" i="2" s="1"/>
  <c r="K636" i="2" s="1"/>
  <c r="K637" i="2" s="1"/>
  <c r="K638" i="2" s="1"/>
  <c r="K639" i="2" s="1"/>
  <c r="K640" i="2" s="1"/>
  <c r="K641" i="2" s="1"/>
  <c r="K642" i="2" s="1"/>
  <c r="K643" i="2" s="1"/>
  <c r="K644" i="2" s="1"/>
  <c r="K645" i="2" s="1"/>
  <c r="K646" i="2" s="1"/>
  <c r="K647" i="2" s="1"/>
  <c r="K648" i="2" s="1"/>
  <c r="K649" i="2" s="1"/>
  <c r="K650" i="2" s="1"/>
  <c r="K651" i="2" s="1"/>
  <c r="K652" i="2" s="1"/>
  <c r="K653" i="2" s="1"/>
  <c r="K654" i="2" s="1"/>
  <c r="K655" i="2" s="1"/>
  <c r="K656" i="2" s="1"/>
  <c r="K657" i="2" s="1"/>
  <c r="K658" i="2" s="1"/>
  <c r="K659" i="2" s="1"/>
  <c r="K660" i="2" s="1"/>
  <c r="K661" i="2" s="1"/>
  <c r="K662" i="2" s="1"/>
  <c r="K663" i="2" s="1"/>
  <c r="K664" i="2" s="1"/>
  <c r="K665" i="2" s="1"/>
  <c r="K666" i="2" s="1"/>
  <c r="K667" i="2" s="1"/>
  <c r="K668" i="2" s="1"/>
  <c r="K669" i="2" s="1"/>
  <c r="K670" i="2" s="1"/>
  <c r="K671" i="2" s="1"/>
  <c r="K672" i="2" s="1"/>
  <c r="K673" i="2" s="1"/>
  <c r="K674" i="2" s="1"/>
  <c r="K675" i="2" s="1"/>
  <c r="K676" i="2" s="1"/>
  <c r="K677" i="2" s="1"/>
  <c r="K678" i="2" s="1"/>
  <c r="K679" i="2" s="1"/>
  <c r="K680" i="2" s="1"/>
  <c r="K681" i="2" s="1"/>
  <c r="K682" i="2" s="1"/>
  <c r="K683" i="2" s="1"/>
  <c r="K684" i="2" s="1"/>
  <c r="K685" i="2" s="1"/>
  <c r="K686" i="2" s="1"/>
  <c r="K687" i="2" s="1"/>
  <c r="K688" i="2" s="1"/>
  <c r="K689" i="2" s="1"/>
  <c r="K690" i="2" s="1"/>
  <c r="K691" i="2" s="1"/>
  <c r="K692" i="2" s="1"/>
  <c r="K693" i="2" s="1"/>
  <c r="K694" i="2" s="1"/>
  <c r="K695" i="2" s="1"/>
  <c r="K696" i="2" s="1"/>
  <c r="K697" i="2" s="1"/>
  <c r="K698" i="2" s="1"/>
  <c r="K699" i="2" s="1"/>
  <c r="K700" i="2" s="1"/>
  <c r="K701" i="2" s="1"/>
  <c r="K702" i="2" s="1"/>
  <c r="K703" i="2" s="1"/>
  <c r="K704" i="2" s="1"/>
  <c r="K705" i="2" s="1"/>
  <c r="K706" i="2" s="1"/>
  <c r="K707" i="2" s="1"/>
  <c r="K708" i="2" s="1"/>
  <c r="K709" i="2" s="1"/>
  <c r="K710" i="2" s="1"/>
  <c r="K711" i="2" s="1"/>
  <c r="K712" i="2" s="1"/>
  <c r="K713" i="2" s="1"/>
  <c r="K714" i="2" s="1"/>
  <c r="K715" i="2" s="1"/>
  <c r="K716" i="2" s="1"/>
  <c r="K717" i="2" s="1"/>
  <c r="K718" i="2" s="1"/>
  <c r="K719" i="2" s="1"/>
  <c r="K720" i="2" s="1"/>
  <c r="K721" i="2" s="1"/>
  <c r="K722" i="2" s="1"/>
  <c r="K723" i="2" s="1"/>
  <c r="K724" i="2" s="1"/>
  <c r="K725" i="2" s="1"/>
  <c r="K726" i="2" s="1"/>
  <c r="K727" i="2" s="1"/>
  <c r="K728" i="2" s="1"/>
  <c r="K729" i="2" s="1"/>
  <c r="K730" i="2" s="1"/>
  <c r="K731" i="2" s="1"/>
  <c r="K732" i="2" s="1"/>
  <c r="K733" i="2" s="1"/>
  <c r="K734" i="2" s="1"/>
  <c r="K735" i="2" s="1"/>
  <c r="K736" i="2" s="1"/>
  <c r="K737" i="2" s="1"/>
  <c r="K738" i="2" s="1"/>
  <c r="K739" i="2" s="1"/>
  <c r="K740" i="2" s="1"/>
  <c r="K741" i="2" s="1"/>
  <c r="K742" i="2" s="1"/>
  <c r="K743" i="2" s="1"/>
  <c r="K744" i="2" s="1"/>
  <c r="K745" i="2" s="1"/>
  <c r="K746" i="2" s="1"/>
  <c r="K747" i="2" s="1"/>
  <c r="K748" i="2" s="1"/>
  <c r="K749" i="2" s="1"/>
  <c r="K750" i="2" s="1"/>
  <c r="K751" i="2" s="1"/>
  <c r="K752" i="2" s="1"/>
  <c r="K753" i="2" s="1"/>
  <c r="K754" i="2" s="1"/>
  <c r="K755" i="2" s="1"/>
  <c r="K756" i="2" s="1"/>
  <c r="K757" i="2" s="1"/>
  <c r="K758" i="2" s="1"/>
  <c r="K759" i="2" s="1"/>
  <c r="K760" i="2" s="1"/>
  <c r="K761" i="2" s="1"/>
  <c r="K762" i="2" s="1"/>
  <c r="K763" i="2" s="1"/>
  <c r="K764" i="2" s="1"/>
  <c r="K765" i="2" s="1"/>
  <c r="K766" i="2" s="1"/>
  <c r="K767" i="2" s="1"/>
  <c r="K768" i="2" s="1"/>
  <c r="K769" i="2" s="1"/>
  <c r="K770" i="2" s="1"/>
  <c r="K771" i="2" s="1"/>
  <c r="K772" i="2" s="1"/>
  <c r="K773" i="2" s="1"/>
  <c r="K774" i="2" s="1"/>
  <c r="K775" i="2" s="1"/>
  <c r="K776" i="2" s="1"/>
  <c r="K777" i="2" s="1"/>
  <c r="K778" i="2" s="1"/>
  <c r="K779" i="2" s="1"/>
  <c r="K780" i="2" s="1"/>
  <c r="K781" i="2" s="1"/>
  <c r="K782" i="2" s="1"/>
  <c r="K783" i="2" s="1"/>
  <c r="K784" i="2" s="1"/>
  <c r="K785" i="2" s="1"/>
  <c r="K786" i="2" s="1"/>
  <c r="K787" i="2" s="1"/>
  <c r="K788" i="2" s="1"/>
  <c r="K789" i="2" s="1"/>
  <c r="K790" i="2" s="1"/>
  <c r="K791" i="2" s="1"/>
  <c r="K792" i="2" s="1"/>
  <c r="K793" i="2" s="1"/>
  <c r="K794" i="2" s="1"/>
  <c r="K795" i="2" s="1"/>
  <c r="K796" i="2" s="1"/>
  <c r="K797" i="2" s="1"/>
  <c r="K798" i="2" s="1"/>
  <c r="K799" i="2" s="1"/>
  <c r="K800" i="2" s="1"/>
  <c r="K801" i="2" s="1"/>
  <c r="K802" i="2" s="1"/>
  <c r="K803" i="2" s="1"/>
  <c r="K804" i="2" s="1"/>
  <c r="K805" i="2" s="1"/>
  <c r="K806" i="2" s="1"/>
  <c r="K807" i="2" s="1"/>
  <c r="K808" i="2" s="1"/>
  <c r="K809" i="2" s="1"/>
  <c r="K810" i="2" s="1"/>
  <c r="K811" i="2" s="1"/>
  <c r="K812" i="2" s="1"/>
  <c r="K813" i="2" s="1"/>
  <c r="K814" i="2" s="1"/>
  <c r="K815" i="2" s="1"/>
  <c r="K816" i="2" s="1"/>
  <c r="K817" i="2" s="1"/>
  <c r="K818" i="2" s="1"/>
  <c r="K819" i="2" s="1"/>
  <c r="K820" i="2" s="1"/>
  <c r="K821" i="2" s="1"/>
  <c r="K822" i="2" s="1"/>
  <c r="K823" i="2" s="1"/>
  <c r="K824" i="2" s="1"/>
  <c r="K825" i="2" s="1"/>
  <c r="K826" i="2" s="1"/>
  <c r="K827" i="2" s="1"/>
  <c r="K828" i="2" s="1"/>
  <c r="K829" i="2" s="1"/>
  <c r="K830" i="2" s="1"/>
  <c r="K831" i="2" s="1"/>
  <c r="K832" i="2" s="1"/>
  <c r="K833" i="2" s="1"/>
  <c r="K834" i="2" s="1"/>
  <c r="K835" i="2" s="1"/>
  <c r="K836" i="2" s="1"/>
  <c r="K837" i="2" s="1"/>
  <c r="K838" i="2" s="1"/>
  <c r="K839" i="2" s="1"/>
  <c r="K840" i="2" s="1"/>
  <c r="K841" i="2" s="1"/>
  <c r="K842" i="2" s="1"/>
  <c r="K843" i="2" s="1"/>
  <c r="K844" i="2" s="1"/>
  <c r="K845" i="2" s="1"/>
  <c r="K846" i="2" s="1"/>
  <c r="K847" i="2" s="1"/>
  <c r="K848" i="2" s="1"/>
  <c r="K849" i="2" s="1"/>
  <c r="K850" i="2" s="1"/>
  <c r="K851" i="2" s="1"/>
  <c r="K852" i="2" s="1"/>
  <c r="K853" i="2" s="1"/>
  <c r="K854" i="2" s="1"/>
  <c r="K855" i="2" s="1"/>
  <c r="K856" i="2" s="1"/>
  <c r="K857" i="2" s="1"/>
  <c r="K858" i="2" s="1"/>
  <c r="K859" i="2" s="1"/>
  <c r="K860" i="2" s="1"/>
  <c r="K861" i="2" s="1"/>
  <c r="K862" i="2" s="1"/>
  <c r="K863" i="2" s="1"/>
  <c r="K864" i="2" s="1"/>
  <c r="K865" i="2" s="1"/>
  <c r="K866" i="2" s="1"/>
  <c r="K867" i="2" s="1"/>
  <c r="K868" i="2" s="1"/>
  <c r="K869" i="2" s="1"/>
  <c r="K870" i="2" s="1"/>
  <c r="K871" i="2" s="1"/>
  <c r="K872" i="2" s="1"/>
  <c r="K873" i="2" s="1"/>
  <c r="K874" i="2" s="1"/>
  <c r="K875" i="2" s="1"/>
  <c r="K876" i="2" s="1"/>
  <c r="K877" i="2" s="1"/>
  <c r="K878" i="2" s="1"/>
  <c r="K879" i="2" s="1"/>
  <c r="K880" i="2" s="1"/>
  <c r="K881" i="2" s="1"/>
  <c r="K882" i="2" s="1"/>
  <c r="K883" i="2" s="1"/>
  <c r="K884" i="2" s="1"/>
  <c r="K885" i="2" s="1"/>
  <c r="K886" i="2" s="1"/>
  <c r="K887" i="2" s="1"/>
  <c r="K888" i="2" s="1"/>
  <c r="K889" i="2" s="1"/>
  <c r="K890" i="2" s="1"/>
  <c r="K891" i="2" s="1"/>
  <c r="K892" i="2" s="1"/>
  <c r="K893" i="2" s="1"/>
  <c r="K894" i="2" s="1"/>
  <c r="K895" i="2" s="1"/>
  <c r="K896" i="2" s="1"/>
  <c r="K897" i="2" s="1"/>
  <c r="K898" i="2" s="1"/>
  <c r="K899" i="2" s="1"/>
  <c r="K900" i="2" s="1"/>
  <c r="K901" i="2" s="1"/>
  <c r="K902" i="2" s="1"/>
  <c r="K903" i="2" s="1"/>
  <c r="K904" i="2" s="1"/>
  <c r="K905" i="2" s="1"/>
  <c r="K906" i="2" s="1"/>
  <c r="K907" i="2" s="1"/>
  <c r="K908" i="2" s="1"/>
  <c r="K909" i="2" s="1"/>
  <c r="K910" i="2" s="1"/>
  <c r="K911" i="2" s="1"/>
  <c r="K912" i="2" s="1"/>
  <c r="K913" i="2" s="1"/>
  <c r="K914" i="2" s="1"/>
  <c r="K915" i="2" s="1"/>
  <c r="K916" i="2" s="1"/>
  <c r="K917" i="2" s="1"/>
  <c r="K918" i="2" s="1"/>
  <c r="K919" i="2" s="1"/>
  <c r="K920" i="2" s="1"/>
  <c r="K921" i="2" s="1"/>
  <c r="K922" i="2" s="1"/>
  <c r="K923" i="2" s="1"/>
  <c r="K924" i="2" s="1"/>
  <c r="K925" i="2" s="1"/>
  <c r="K926" i="2" s="1"/>
  <c r="K927" i="2" s="1"/>
  <c r="K928" i="2" s="1"/>
  <c r="K929" i="2" s="1"/>
  <c r="K930" i="2" s="1"/>
  <c r="K931" i="2" s="1"/>
  <c r="K932" i="2" s="1"/>
  <c r="K933" i="2" s="1"/>
  <c r="K934" i="2" s="1"/>
  <c r="K935" i="2" s="1"/>
  <c r="K936" i="2" s="1"/>
  <c r="K937" i="2" s="1"/>
  <c r="K938" i="2" s="1"/>
  <c r="K939" i="2" s="1"/>
  <c r="K940" i="2" s="1"/>
  <c r="K941" i="2" s="1"/>
  <c r="K942" i="2" s="1"/>
  <c r="K943" i="2" s="1"/>
  <c r="K944" i="2" s="1"/>
  <c r="K945" i="2" s="1"/>
  <c r="K946" i="2" s="1"/>
  <c r="K947" i="2" s="1"/>
  <c r="K948" i="2" s="1"/>
  <c r="K949" i="2" s="1"/>
  <c r="K950" i="2" s="1"/>
  <c r="K951" i="2" s="1"/>
  <c r="K952" i="2" s="1"/>
  <c r="K953" i="2" s="1"/>
  <c r="K954" i="2" s="1"/>
  <c r="K955" i="2" s="1"/>
  <c r="K956" i="2" s="1"/>
  <c r="K957" i="2" s="1"/>
  <c r="K958" i="2" s="1"/>
  <c r="K959" i="2" s="1"/>
  <c r="K960" i="2" s="1"/>
  <c r="K961" i="2" s="1"/>
  <c r="K962" i="2" s="1"/>
  <c r="K963" i="2" s="1"/>
  <c r="K964" i="2" s="1"/>
  <c r="K965" i="2" s="1"/>
  <c r="K966" i="2" s="1"/>
  <c r="K967" i="2" s="1"/>
  <c r="K968" i="2" s="1"/>
  <c r="K969" i="2" s="1"/>
  <c r="K970" i="2" s="1"/>
  <c r="K971" i="2" s="1"/>
  <c r="K972" i="2" s="1"/>
  <c r="K973" i="2" s="1"/>
  <c r="K974" i="2" s="1"/>
  <c r="K975" i="2" s="1"/>
  <c r="K976" i="2" s="1"/>
  <c r="K977" i="2" s="1"/>
  <c r="K978" i="2" s="1"/>
  <c r="K979" i="2" s="1"/>
  <c r="K980" i="2" s="1"/>
  <c r="K981" i="2" s="1"/>
  <c r="K982" i="2" s="1"/>
  <c r="K983" i="2" s="1"/>
  <c r="K984" i="2" s="1"/>
  <c r="K985" i="2" s="1"/>
  <c r="K986" i="2" s="1"/>
  <c r="K987" i="2" s="1"/>
  <c r="K988" i="2" s="1"/>
  <c r="K989" i="2" s="1"/>
  <c r="K990" i="2" s="1"/>
  <c r="K991" i="2" s="1"/>
  <c r="K992" i="2" s="1"/>
  <c r="K993" i="2" s="1"/>
  <c r="K994" i="2" s="1"/>
  <c r="K995" i="2" s="1"/>
  <c r="K996" i="2" s="1"/>
  <c r="K997" i="2" s="1"/>
  <c r="K998" i="2" s="1"/>
  <c r="K999" i="2" s="1"/>
  <c r="K1000" i="2" s="1"/>
  <c r="K1001" i="2" s="1"/>
  <c r="K1002" i="2" s="1"/>
  <c r="K1003" i="2" s="1"/>
  <c r="K1004" i="2" s="1"/>
  <c r="K1005" i="2" s="1"/>
  <c r="K1006" i="2" s="1"/>
  <c r="K1007" i="2" s="1"/>
  <c r="K1008" i="2" s="1"/>
  <c r="K1009" i="2" s="1"/>
  <c r="K1010" i="2" s="1"/>
  <c r="K1011" i="2" s="1"/>
  <c r="K1012" i="2" s="1"/>
  <c r="K1013" i="2" s="1"/>
  <c r="K1014" i="2" s="1"/>
  <c r="K1015" i="2" s="1"/>
  <c r="K1016" i="2" s="1"/>
  <c r="K1017" i="2" s="1"/>
  <c r="K1018" i="2" s="1"/>
  <c r="K1019" i="2" s="1"/>
  <c r="K1020" i="2" s="1"/>
  <c r="K1021" i="2" s="1"/>
  <c r="K1022" i="2" s="1"/>
  <c r="K1023" i="2" s="1"/>
  <c r="K1024" i="2" s="1"/>
  <c r="K1025" i="2" s="1"/>
  <c r="K1026" i="2" s="1"/>
  <c r="K1027" i="2" s="1"/>
  <c r="K1028" i="2" s="1"/>
  <c r="K1029" i="2" s="1"/>
  <c r="K1030" i="2" s="1"/>
  <c r="K1031" i="2" s="1"/>
  <c r="K1032" i="2" s="1"/>
  <c r="K1033" i="2" s="1"/>
  <c r="K1034" i="2" s="1"/>
  <c r="K1035" i="2" s="1"/>
  <c r="K1036" i="2" s="1"/>
  <c r="K1037" i="2" s="1"/>
  <c r="K1038" i="2" s="1"/>
  <c r="K1039" i="2" s="1"/>
  <c r="K1040" i="2" s="1"/>
  <c r="K1041" i="2" s="1"/>
  <c r="K1042" i="2" s="1"/>
  <c r="K1043" i="2" s="1"/>
  <c r="K1044" i="2" s="1"/>
  <c r="K1045" i="2" s="1"/>
  <c r="K1046" i="2" s="1"/>
  <c r="K1047" i="2" s="1"/>
  <c r="K1048" i="2" s="1"/>
  <c r="K1049" i="2" s="1"/>
  <c r="K1050" i="2" s="1"/>
  <c r="K1051" i="2" s="1"/>
  <c r="K1052" i="2" s="1"/>
  <c r="K1053" i="2" s="1"/>
  <c r="K1054" i="2" s="1"/>
  <c r="K1055" i="2" s="1"/>
  <c r="K1056" i="2" s="1"/>
  <c r="K1057" i="2" s="1"/>
  <c r="K1058" i="2" s="1"/>
  <c r="K1059" i="2" s="1"/>
  <c r="K1060" i="2" s="1"/>
  <c r="K1061" i="2" s="1"/>
  <c r="K1062" i="2" s="1"/>
  <c r="K1063" i="2" s="1"/>
  <c r="K1064" i="2" s="1"/>
  <c r="K1065" i="2" s="1"/>
  <c r="K1066" i="2" s="1"/>
  <c r="K1067" i="2" s="1"/>
  <c r="K1068" i="2" s="1"/>
  <c r="K1069" i="2" s="1"/>
  <c r="K1070" i="2" s="1"/>
  <c r="K1071" i="2" s="1"/>
  <c r="K1072" i="2" s="1"/>
  <c r="K1073" i="2" s="1"/>
  <c r="K1074" i="2" s="1"/>
  <c r="K1075" i="2" s="1"/>
  <c r="K1076" i="2" s="1"/>
  <c r="K1077" i="2" s="1"/>
  <c r="K1078" i="2" s="1"/>
  <c r="K1079" i="2" s="1"/>
  <c r="K1080" i="2" s="1"/>
  <c r="K1081" i="2" s="1"/>
  <c r="K1082" i="2" s="1"/>
  <c r="K1083" i="2" s="1"/>
  <c r="K1084" i="2" s="1"/>
  <c r="K1085" i="2" s="1"/>
  <c r="K1086" i="2" s="1"/>
  <c r="K1087" i="2" s="1"/>
  <c r="K1088" i="2" s="1"/>
  <c r="K1089" i="2" s="1"/>
  <c r="K1090" i="2" s="1"/>
  <c r="K1091" i="2" s="1"/>
  <c r="K1092" i="2" s="1"/>
  <c r="K1093" i="2" s="1"/>
  <c r="K1094" i="2" s="1"/>
  <c r="K1095" i="2" s="1"/>
  <c r="K1096" i="2" s="1"/>
  <c r="K1097" i="2" s="1"/>
  <c r="K1098" i="2" s="1"/>
  <c r="K1099" i="2" s="1"/>
  <c r="K1100" i="2" s="1"/>
  <c r="K1101" i="2" s="1"/>
  <c r="K1102" i="2" s="1"/>
  <c r="K1103" i="2" s="1"/>
  <c r="K1104" i="2" s="1"/>
  <c r="K1105" i="2" s="1"/>
  <c r="K1106" i="2" s="1"/>
  <c r="K1107" i="2" s="1"/>
  <c r="K1108" i="2" s="1"/>
  <c r="K1109" i="2" s="1"/>
  <c r="K1110" i="2" s="1"/>
  <c r="K1111" i="2" s="1"/>
  <c r="K1112" i="2" s="1"/>
  <c r="K1113" i="2" s="1"/>
  <c r="K1114" i="2" s="1"/>
  <c r="K1115" i="2" s="1"/>
  <c r="K1116" i="2" s="1"/>
  <c r="K1117" i="2" s="1"/>
  <c r="K1118" i="2" s="1"/>
  <c r="K1119" i="2" s="1"/>
  <c r="K1120" i="2" s="1"/>
  <c r="K1121" i="2" s="1"/>
  <c r="K1122" i="2" s="1"/>
  <c r="K1123" i="2" s="1"/>
  <c r="K1124" i="2" s="1"/>
  <c r="K1125" i="2" s="1"/>
  <c r="K1126" i="2" s="1"/>
  <c r="K1127" i="2" s="1"/>
  <c r="K1128" i="2" s="1"/>
  <c r="K1129" i="2" s="1"/>
  <c r="K1130" i="2" s="1"/>
  <c r="K1131" i="2" s="1"/>
  <c r="K1132" i="2" s="1"/>
  <c r="K1133" i="2" s="1"/>
  <c r="K1134" i="2" s="1"/>
  <c r="K1135" i="2" s="1"/>
  <c r="K1136" i="2" s="1"/>
  <c r="K1137" i="2" s="1"/>
  <c r="K1138" i="2" s="1"/>
  <c r="K1139" i="2" s="1"/>
  <c r="K1140" i="2" s="1"/>
  <c r="K1141" i="2" s="1"/>
  <c r="K1142" i="2" s="1"/>
  <c r="K1143" i="2" s="1"/>
  <c r="K1144" i="2" s="1"/>
  <c r="K1145" i="2" s="1"/>
  <c r="K1146" i="2" s="1"/>
  <c r="K1147" i="2" s="1"/>
  <c r="K1148" i="2" s="1"/>
  <c r="K1149" i="2" s="1"/>
  <c r="K1150" i="2" s="1"/>
  <c r="K1151" i="2" s="1"/>
  <c r="K1152" i="2" s="1"/>
  <c r="K1153" i="2" s="1"/>
  <c r="K1154" i="2" s="1"/>
  <c r="K1155" i="2" s="1"/>
  <c r="K1156" i="2" s="1"/>
  <c r="K1157" i="2" s="1"/>
  <c r="K1158" i="2" s="1"/>
  <c r="K1159" i="2" s="1"/>
  <c r="K1160" i="2" s="1"/>
  <c r="K1161" i="2" s="1"/>
  <c r="K1162" i="2" s="1"/>
  <c r="K1163" i="2" s="1"/>
  <c r="K1164" i="2" s="1"/>
  <c r="K1165" i="2" s="1"/>
  <c r="K1166" i="2" s="1"/>
  <c r="K1167" i="2" s="1"/>
  <c r="K1168" i="2" s="1"/>
  <c r="K1169" i="2" s="1"/>
  <c r="K1170" i="2" s="1"/>
  <c r="K1171" i="2" s="1"/>
  <c r="K1172" i="2" s="1"/>
  <c r="K1173" i="2" s="1"/>
  <c r="K1174" i="2" s="1"/>
  <c r="K1175" i="2" s="1"/>
  <c r="K1176" i="2" s="1"/>
  <c r="K1177" i="2" s="1"/>
  <c r="K1178" i="2" s="1"/>
  <c r="K1179" i="2" s="1"/>
  <c r="K1180" i="2" s="1"/>
  <c r="K1181" i="2" s="1"/>
  <c r="K1182" i="2" s="1"/>
  <c r="K1183" i="2" s="1"/>
  <c r="K1184" i="2" s="1"/>
  <c r="K1185" i="2" s="1"/>
  <c r="K1186" i="2" s="1"/>
  <c r="K1187" i="2" s="1"/>
  <c r="K1188" i="2" s="1"/>
  <c r="K1189" i="2" s="1"/>
  <c r="K1190" i="2" s="1"/>
  <c r="K1191" i="2" s="1"/>
  <c r="K1192" i="2" s="1"/>
  <c r="K1193" i="2" s="1"/>
  <c r="K1194" i="2" s="1"/>
  <c r="K1195" i="2" s="1"/>
  <c r="K1196" i="2" s="1"/>
  <c r="K1197" i="2" s="1"/>
  <c r="K1198" i="2" s="1"/>
  <c r="K1199" i="2" s="1"/>
  <c r="K1200" i="2" s="1"/>
  <c r="K1201" i="2" s="1"/>
  <c r="K1202" i="2" s="1"/>
  <c r="K1203" i="2" s="1"/>
  <c r="K1204" i="2" s="1"/>
  <c r="K1205" i="2" s="1"/>
  <c r="K1206" i="2" s="1"/>
  <c r="K1207" i="2" s="1"/>
  <c r="K1208" i="2" s="1"/>
  <c r="K1209" i="2" s="1"/>
  <c r="K1210" i="2" s="1"/>
  <c r="K1211" i="2" s="1"/>
  <c r="K1212" i="2" s="1"/>
  <c r="K1213" i="2" s="1"/>
  <c r="K1214" i="2" s="1"/>
  <c r="K1215" i="2" s="1"/>
  <c r="K1216" i="2" s="1"/>
  <c r="K1217" i="2" s="1"/>
  <c r="K1218" i="2" s="1"/>
  <c r="K1219" i="2" s="1"/>
  <c r="K1220" i="2" s="1"/>
  <c r="K1221" i="2" s="1"/>
  <c r="K1222" i="2" s="1"/>
  <c r="K1223" i="2" s="1"/>
  <c r="K1224" i="2" s="1"/>
  <c r="K1225" i="2" s="1"/>
  <c r="K1226" i="2" s="1"/>
  <c r="K1227" i="2" s="1"/>
  <c r="K1228" i="2" s="1"/>
  <c r="K1229" i="2" s="1"/>
  <c r="K1230" i="2" s="1"/>
  <c r="K1231" i="2" s="1"/>
  <c r="K1232" i="2" s="1"/>
  <c r="K1233" i="2" s="1"/>
  <c r="K1234" i="2" s="1"/>
  <c r="K1235" i="2" s="1"/>
  <c r="K1236" i="2" s="1"/>
  <c r="K1237" i="2" s="1"/>
  <c r="K1238" i="2" s="1"/>
  <c r="K1239" i="2" s="1"/>
  <c r="K1240" i="2" s="1"/>
  <c r="K1241" i="2" s="1"/>
  <c r="K1242" i="2" s="1"/>
  <c r="K1243" i="2" s="1"/>
  <c r="K1244" i="2" s="1"/>
  <c r="K1245" i="2" s="1"/>
  <c r="K1246" i="2" s="1"/>
  <c r="K1247" i="2" s="1"/>
  <c r="K1248" i="2" s="1"/>
  <c r="K1249" i="2" s="1"/>
  <c r="K1250" i="2" s="1"/>
  <c r="K1251" i="2" s="1"/>
  <c r="K1252" i="2" s="1"/>
  <c r="K1253" i="2" s="1"/>
  <c r="K1254" i="2" s="1"/>
  <c r="K1255" i="2" s="1"/>
  <c r="K1256" i="2" s="1"/>
  <c r="K1257" i="2" s="1"/>
  <c r="K1258" i="2" s="1"/>
  <c r="K1259" i="2" s="1"/>
  <c r="K1260" i="2" s="1"/>
  <c r="K1261" i="2" s="1"/>
  <c r="K1262" i="2" s="1"/>
  <c r="K1263" i="2" s="1"/>
  <c r="K1264" i="2" s="1"/>
  <c r="K1265" i="2" s="1"/>
  <c r="K1266" i="2" s="1"/>
  <c r="K1267" i="2" s="1"/>
  <c r="K1268" i="2" s="1"/>
  <c r="K1269" i="2" s="1"/>
  <c r="K1270" i="2" s="1"/>
  <c r="K1271" i="2" s="1"/>
  <c r="K1272" i="2" s="1"/>
  <c r="K1273" i="2" s="1"/>
  <c r="K1274" i="2" s="1"/>
  <c r="K1275" i="2" s="1"/>
  <c r="K1276" i="2" s="1"/>
  <c r="K1277" i="2" s="1"/>
  <c r="K1278" i="2" s="1"/>
  <c r="K1279" i="2" s="1"/>
  <c r="K1280" i="2" s="1"/>
  <c r="K1281" i="2" s="1"/>
  <c r="K1282" i="2" s="1"/>
  <c r="K1283" i="2" s="1"/>
  <c r="K1284" i="2" s="1"/>
  <c r="K1285" i="2" s="1"/>
  <c r="K1286" i="2" s="1"/>
  <c r="K1287" i="2" s="1"/>
  <c r="K1288" i="2" s="1"/>
  <c r="K1289" i="2" s="1"/>
  <c r="K1290" i="2" s="1"/>
  <c r="K1291" i="2" s="1"/>
  <c r="K1292" i="2" s="1"/>
  <c r="K1293" i="2" s="1"/>
  <c r="K1294" i="2" s="1"/>
  <c r="K1295" i="2" s="1"/>
  <c r="K1296" i="2" s="1"/>
  <c r="K1297" i="2" s="1"/>
  <c r="K1298" i="2" s="1"/>
  <c r="K1299" i="2" s="1"/>
  <c r="K1300" i="2" s="1"/>
  <c r="K1301" i="2" s="1"/>
  <c r="K1302" i="2" s="1"/>
  <c r="K1303" i="2" s="1"/>
  <c r="K1304" i="2" s="1"/>
  <c r="K1305" i="2" s="1"/>
  <c r="K1306" i="2" s="1"/>
  <c r="K1307" i="2" s="1"/>
  <c r="K1308" i="2" s="1"/>
  <c r="K1309" i="2" s="1"/>
  <c r="K1310" i="2" s="1"/>
  <c r="K1311" i="2" s="1"/>
  <c r="K1312" i="2" s="1"/>
  <c r="K1313" i="2" s="1"/>
  <c r="K1314" i="2" s="1"/>
  <c r="K1315" i="2" s="1"/>
  <c r="K1316" i="2" s="1"/>
  <c r="K1317" i="2" s="1"/>
  <c r="K1318" i="2" s="1"/>
  <c r="K1319" i="2" s="1"/>
  <c r="K1320" i="2" s="1"/>
  <c r="K1321" i="2" s="1"/>
  <c r="K1322" i="2" s="1"/>
  <c r="K1323" i="2" s="1"/>
  <c r="K1324" i="2" s="1"/>
  <c r="K1325" i="2" s="1"/>
  <c r="K1326" i="2" s="1"/>
  <c r="K1327" i="2" s="1"/>
  <c r="K1328" i="2" s="1"/>
  <c r="K1329" i="2" s="1"/>
  <c r="K1330" i="2" s="1"/>
  <c r="K1331" i="2" s="1"/>
  <c r="K1332" i="2" s="1"/>
  <c r="K1333" i="2" s="1"/>
  <c r="K1334" i="2" s="1"/>
  <c r="K1335" i="2" s="1"/>
  <c r="K1336" i="2" s="1"/>
  <c r="K1337" i="2" s="1"/>
  <c r="K1338" i="2" s="1"/>
  <c r="K1339" i="2" s="1"/>
  <c r="K1340" i="2" s="1"/>
  <c r="K1341" i="2" s="1"/>
  <c r="K1342" i="2" s="1"/>
  <c r="K1343" i="2" s="1"/>
  <c r="K1344" i="2" s="1"/>
  <c r="K1345" i="2" s="1"/>
  <c r="K1346" i="2" s="1"/>
  <c r="K1347" i="2" s="1"/>
  <c r="K1348" i="2" s="1"/>
  <c r="K1349" i="2" s="1"/>
  <c r="K1350" i="2" s="1"/>
  <c r="K1351" i="2" s="1"/>
  <c r="K1352" i="2" s="1"/>
  <c r="K1353" i="2" s="1"/>
  <c r="K1354" i="2" s="1"/>
  <c r="K1355" i="2" s="1"/>
  <c r="K1356" i="2" s="1"/>
  <c r="K1357" i="2" s="1"/>
  <c r="K1358" i="2" s="1"/>
  <c r="K1359" i="2" s="1"/>
  <c r="K1360" i="2" s="1"/>
  <c r="K1361" i="2" s="1"/>
  <c r="K1362" i="2" s="1"/>
  <c r="K1363" i="2" s="1"/>
  <c r="K1364" i="2" s="1"/>
  <c r="K1365" i="2" s="1"/>
  <c r="K1366" i="2" s="1"/>
  <c r="K1367" i="2" s="1"/>
  <c r="K1368" i="2" s="1"/>
  <c r="K1369" i="2" s="1"/>
  <c r="K1370" i="2" s="1"/>
  <c r="K1371" i="2" s="1"/>
  <c r="K1372" i="2" s="1"/>
  <c r="K1373" i="2" s="1"/>
  <c r="K1374" i="2" s="1"/>
  <c r="K1375" i="2" s="1"/>
  <c r="K1376" i="2" s="1"/>
  <c r="K1377" i="2" s="1"/>
  <c r="K1378" i="2" s="1"/>
  <c r="K1379" i="2" s="1"/>
  <c r="K1380" i="2" s="1"/>
  <c r="K1381" i="2" s="1"/>
  <c r="K1382" i="2" s="1"/>
  <c r="K1383" i="2" s="1"/>
  <c r="K1384" i="2" s="1"/>
  <c r="K1385" i="2" s="1"/>
  <c r="K1386" i="2" s="1"/>
  <c r="K1387" i="2" s="1"/>
  <c r="K1388" i="2" s="1"/>
  <c r="K1389" i="2" s="1"/>
  <c r="K1390" i="2" s="1"/>
  <c r="K1391" i="2" s="1"/>
  <c r="K1392" i="2" s="1"/>
  <c r="K1393" i="2" s="1"/>
  <c r="K1394" i="2" s="1"/>
  <c r="K1395" i="2" s="1"/>
  <c r="K1396" i="2" s="1"/>
  <c r="K1397" i="2" s="1"/>
  <c r="K1398" i="2" s="1"/>
  <c r="K1399" i="2" s="1"/>
  <c r="K1400" i="2" s="1"/>
  <c r="K1401" i="2" s="1"/>
  <c r="K1402" i="2" s="1"/>
  <c r="K1403" i="2" s="1"/>
  <c r="K1404" i="2" s="1"/>
  <c r="K1405" i="2" s="1"/>
  <c r="K1406" i="2" s="1"/>
  <c r="K1407" i="2" s="1"/>
  <c r="K1408" i="2" s="1"/>
  <c r="K1409" i="2" s="1"/>
  <c r="K1410" i="2" s="1"/>
  <c r="K1411" i="2" s="1"/>
  <c r="K1412" i="2" s="1"/>
  <c r="K1413" i="2" s="1"/>
  <c r="K1414" i="2" s="1"/>
  <c r="K1415" i="2" s="1"/>
  <c r="K1416" i="2" s="1"/>
  <c r="K1417" i="2" s="1"/>
  <c r="K1418" i="2" s="1"/>
  <c r="K1419" i="2" s="1"/>
  <c r="K1420" i="2" s="1"/>
  <c r="K1421" i="2" s="1"/>
  <c r="K1422" i="2" s="1"/>
  <c r="K1423" i="2" s="1"/>
  <c r="K1424" i="2" s="1"/>
  <c r="K1425" i="2" s="1"/>
  <c r="P9" i="2"/>
  <c r="U48" i="1"/>
  <c r="U49" i="1" l="1"/>
  <c r="U50" i="1" l="1"/>
  <c r="U51" i="1" l="1"/>
  <c r="U52" i="1" l="1"/>
  <c r="U53" i="1" l="1"/>
  <c r="U54" i="1" l="1"/>
  <c r="U55" i="1" l="1"/>
  <c r="U56" i="1" l="1"/>
  <c r="U57" i="1" l="1"/>
  <c r="U58" i="1" l="1"/>
  <c r="U59" i="1" l="1"/>
  <c r="U60" i="1" l="1"/>
  <c r="U61" i="1" l="1"/>
  <c r="U62" i="1" l="1"/>
  <c r="U63" i="1" l="1"/>
  <c r="U64" i="1" l="1"/>
  <c r="U65" i="1" l="1"/>
  <c r="U66" i="1" l="1"/>
  <c r="U67" i="1" l="1"/>
  <c r="U68" i="1" l="1"/>
  <c r="U69" i="1" l="1"/>
  <c r="U70" i="1" l="1"/>
  <c r="U71" i="1" l="1"/>
  <c r="U72" i="1" l="1"/>
  <c r="U73" i="1" l="1"/>
  <c r="U74" i="1" l="1"/>
  <c r="U75" i="1" l="1"/>
  <c r="U76" i="1" l="1"/>
  <c r="U77" i="1" l="1"/>
  <c r="U78" i="1" l="1"/>
  <c r="U79" i="1" l="1"/>
  <c r="U80" i="1" l="1"/>
  <c r="U81" i="1" l="1"/>
  <c r="U82" i="1" l="1"/>
  <c r="U83" i="1" l="1"/>
  <c r="U84" i="1" l="1"/>
  <c r="U85" i="1" l="1"/>
  <c r="U86" i="1" l="1"/>
  <c r="U87" i="1" l="1"/>
  <c r="U88" i="1" l="1"/>
  <c r="U89" i="1" l="1"/>
  <c r="U90" i="1" l="1"/>
  <c r="U91" i="1" l="1"/>
  <c r="U92" i="1" l="1"/>
  <c r="U93" i="1" l="1"/>
  <c r="U94" i="1" l="1"/>
  <c r="U95" i="1" l="1"/>
  <c r="U96" i="1" l="1"/>
  <c r="U97" i="1" l="1"/>
  <c r="U98" i="1" l="1"/>
  <c r="U99" i="1" l="1"/>
  <c r="U100" i="1" l="1"/>
  <c r="U101" i="1" l="1"/>
  <c r="U102" i="1" l="1"/>
  <c r="U103" i="1" l="1"/>
  <c r="U104" i="1" l="1"/>
  <c r="U105" i="1" l="1"/>
  <c r="U106" i="1" l="1"/>
  <c r="U107" i="1" l="1"/>
  <c r="U108" i="1" l="1"/>
  <c r="U109" i="1" l="1"/>
  <c r="U110" i="1" l="1"/>
  <c r="U111" i="1" l="1"/>
  <c r="U112" i="1" l="1"/>
  <c r="U113" i="1" l="1"/>
  <c r="U114" i="1" l="1"/>
  <c r="U115" i="1" l="1"/>
  <c r="U116" i="1" l="1"/>
  <c r="U117" i="1" l="1"/>
  <c r="U118" i="1" l="1"/>
  <c r="U119" i="1" l="1"/>
  <c r="U120" i="1" l="1"/>
  <c r="U121" i="1" l="1"/>
  <c r="U122" i="1" l="1"/>
  <c r="U123" i="1" l="1"/>
  <c r="U124" i="1" l="1"/>
  <c r="U125" i="1" l="1"/>
  <c r="U126" i="1" l="1"/>
  <c r="U127" i="1" l="1"/>
  <c r="U128" i="1" l="1"/>
  <c r="U129" i="1" l="1"/>
  <c r="U130" i="1" l="1"/>
  <c r="U131" i="1" l="1"/>
  <c r="U132" i="1" l="1"/>
  <c r="U133" i="1" l="1"/>
  <c r="U134" i="1" l="1"/>
  <c r="U135" i="1" l="1"/>
  <c r="U136" i="1" l="1"/>
  <c r="U137" i="1" l="1"/>
  <c r="U138" i="1" l="1"/>
  <c r="U139" i="1" l="1"/>
  <c r="U140" i="1" l="1"/>
  <c r="U141" i="1" l="1"/>
  <c r="U142" i="1" l="1"/>
  <c r="U143" i="1" l="1"/>
  <c r="U144" i="1" l="1"/>
  <c r="U145" i="1" l="1"/>
  <c r="U146" i="1" l="1"/>
  <c r="U147" i="1" l="1"/>
  <c r="U148" i="1" l="1"/>
  <c r="U149" i="1" l="1"/>
  <c r="U150" i="1" l="1"/>
  <c r="U151" i="1" l="1"/>
  <c r="U152" i="1" l="1"/>
  <c r="U153" i="1" l="1"/>
  <c r="U154" i="1" l="1"/>
  <c r="U155" i="1" l="1"/>
  <c r="U156" i="1" l="1"/>
  <c r="U157" i="1" l="1"/>
  <c r="U158" i="1" l="1"/>
  <c r="U159" i="1" l="1"/>
  <c r="U160" i="1" l="1"/>
  <c r="U161" i="1" l="1"/>
  <c r="U162" i="1" l="1"/>
  <c r="U163" i="1" l="1"/>
  <c r="U164" i="1" l="1"/>
  <c r="U165" i="1" l="1"/>
  <c r="U166" i="1" l="1"/>
  <c r="U167" i="1" l="1"/>
  <c r="U168" i="1" l="1"/>
  <c r="U169" i="1" l="1"/>
  <c r="U170" i="1" l="1"/>
  <c r="U171" i="1" l="1"/>
  <c r="U172" i="1" l="1"/>
  <c r="U173" i="1" l="1"/>
  <c r="U174" i="1" l="1"/>
  <c r="U175" i="1" l="1"/>
  <c r="U176" i="1" l="1"/>
  <c r="U177" i="1" l="1"/>
  <c r="U178" i="1" l="1"/>
  <c r="U179" i="1" l="1"/>
  <c r="U180" i="1" l="1"/>
  <c r="U181" i="1" l="1"/>
  <c r="U182" i="1" l="1"/>
  <c r="U183" i="1" l="1"/>
  <c r="U184" i="1" l="1"/>
  <c r="U185" i="1" l="1"/>
  <c r="U186" i="1" l="1"/>
  <c r="U187" i="1" l="1"/>
  <c r="U188" i="1" l="1"/>
  <c r="U189" i="1" l="1"/>
  <c r="U190" i="1" l="1"/>
  <c r="U191" i="1" l="1"/>
  <c r="U192" i="1" l="1"/>
  <c r="U193" i="1" l="1"/>
  <c r="U194" i="1" l="1"/>
  <c r="U195" i="1" l="1"/>
  <c r="U196" i="1" l="1"/>
  <c r="U197" i="1" l="1"/>
  <c r="U198" i="1" l="1"/>
  <c r="U199" i="1" l="1"/>
  <c r="U200" i="1" l="1"/>
  <c r="U201" i="1" l="1"/>
  <c r="U202" i="1" l="1"/>
  <c r="U203" i="1" l="1"/>
  <c r="U204" i="1" l="1"/>
  <c r="U205" i="1" l="1"/>
  <c r="U206" i="1" l="1"/>
  <c r="U207" i="1" l="1"/>
  <c r="U208" i="1" l="1"/>
  <c r="U209" i="1" l="1"/>
  <c r="U210" i="1" l="1"/>
  <c r="U211" i="1" l="1"/>
  <c r="U212" i="1" l="1"/>
  <c r="U213" i="1" l="1"/>
  <c r="U214" i="1" l="1"/>
  <c r="U215" i="1" l="1"/>
  <c r="U216" i="1" l="1"/>
  <c r="U217" i="1" l="1"/>
  <c r="U218" i="1" l="1"/>
  <c r="U219" i="1" l="1"/>
  <c r="U220" i="1" l="1"/>
  <c r="U221" i="1" l="1"/>
  <c r="U222" i="1" l="1"/>
  <c r="U223" i="1" l="1"/>
  <c r="U224" i="1" l="1"/>
  <c r="U225" i="1" l="1"/>
  <c r="U226" i="1" l="1"/>
  <c r="U227" i="1" l="1"/>
  <c r="U228" i="1" l="1"/>
  <c r="U229" i="1" l="1"/>
  <c r="U230" i="1" l="1"/>
  <c r="U231" i="1" l="1"/>
  <c r="U232" i="1" l="1"/>
  <c r="U233" i="1" l="1"/>
  <c r="U234" i="1" l="1"/>
  <c r="U235" i="1" l="1"/>
  <c r="U236" i="1" l="1"/>
  <c r="U237" i="1" l="1"/>
  <c r="U238" i="1" l="1"/>
  <c r="U239" i="1" l="1"/>
  <c r="U240" i="1" l="1"/>
  <c r="U241" i="1" l="1"/>
  <c r="U242" i="1" l="1"/>
  <c r="U243" i="1" l="1"/>
  <c r="U244" i="1" l="1"/>
  <c r="U245" i="1" l="1"/>
  <c r="U246" i="1" l="1"/>
  <c r="U247" i="1" l="1"/>
  <c r="U248" i="1" l="1"/>
  <c r="U249" i="1" l="1"/>
  <c r="U250" i="1" l="1"/>
  <c r="U251" i="1" l="1"/>
  <c r="U252" i="1" l="1"/>
  <c r="U253" i="1" l="1"/>
  <c r="U254" i="1" l="1"/>
  <c r="U255" i="1" l="1"/>
  <c r="U256" i="1" l="1"/>
  <c r="U257" i="1" l="1"/>
  <c r="U258" i="1" l="1"/>
  <c r="U259" i="1" l="1"/>
  <c r="U260" i="1" l="1"/>
  <c r="U261" i="1" l="1"/>
  <c r="U262" i="1" l="1"/>
  <c r="U263" i="1" l="1"/>
  <c r="U264" i="1" l="1"/>
  <c r="U265" i="1" l="1"/>
  <c r="U266" i="1" l="1"/>
  <c r="U267" i="1" l="1"/>
  <c r="U268" i="1" l="1"/>
  <c r="U269" i="1" l="1"/>
  <c r="U270" i="1" l="1"/>
  <c r="U271" i="1" l="1"/>
  <c r="U272" i="1" l="1"/>
  <c r="U273" i="1" l="1"/>
  <c r="U274" i="1" l="1"/>
  <c r="U275" i="1" l="1"/>
  <c r="U276" i="1" l="1"/>
  <c r="U277" i="1" l="1"/>
  <c r="U278" i="1" l="1"/>
  <c r="U279" i="1" l="1"/>
  <c r="U280" i="1" l="1"/>
  <c r="U281" i="1" l="1"/>
  <c r="U282" i="1" l="1"/>
  <c r="U283" i="1" l="1"/>
  <c r="U284" i="1" l="1"/>
  <c r="U285" i="1" l="1"/>
  <c r="U286" i="1" l="1"/>
  <c r="U287" i="1" l="1"/>
  <c r="U288" i="1" l="1"/>
  <c r="U289" i="1" l="1"/>
  <c r="U290" i="1" l="1"/>
  <c r="U291" i="1" l="1"/>
  <c r="U292" i="1" l="1"/>
  <c r="U293" i="1" l="1"/>
  <c r="U294" i="1" l="1"/>
  <c r="U295" i="1" l="1"/>
  <c r="U296" i="1" l="1"/>
  <c r="U297" i="1" l="1"/>
  <c r="U298" i="1" l="1"/>
  <c r="U299" i="1" l="1"/>
  <c r="U300" i="1" l="1"/>
  <c r="U301" i="1" l="1"/>
  <c r="U302" i="1" l="1"/>
  <c r="U303" i="1" l="1"/>
  <c r="U304" i="1" l="1"/>
  <c r="U305" i="1" l="1"/>
  <c r="U306" i="1" l="1"/>
  <c r="U307" i="1" l="1"/>
  <c r="U308" i="1" l="1"/>
  <c r="U309" i="1" l="1"/>
  <c r="U310" i="1" l="1"/>
  <c r="U311" i="1" l="1"/>
  <c r="U312" i="1" l="1"/>
  <c r="U313" i="1" l="1"/>
  <c r="U314" i="1" l="1"/>
  <c r="U315" i="1" l="1"/>
  <c r="U316" i="1" l="1"/>
  <c r="U317" i="1" l="1"/>
  <c r="U318" i="1" l="1"/>
  <c r="U319" i="1" l="1"/>
  <c r="U320" i="1" l="1"/>
  <c r="U321" i="1" l="1"/>
  <c r="U322" i="1" l="1"/>
  <c r="U323" i="1" l="1"/>
  <c r="U324" i="1" l="1"/>
  <c r="U325" i="1" l="1"/>
  <c r="U326" i="1" l="1"/>
  <c r="U327" i="1" l="1"/>
  <c r="U328" i="1" l="1"/>
  <c r="U329" i="1" l="1"/>
  <c r="U330" i="1" l="1"/>
  <c r="U331" i="1" l="1"/>
  <c r="U332" i="1" l="1"/>
  <c r="U333" i="1" l="1"/>
  <c r="U334" i="1" l="1"/>
  <c r="U335" i="1" l="1"/>
  <c r="U336" i="1" l="1"/>
  <c r="U337" i="1" l="1"/>
  <c r="U338" i="1" l="1"/>
  <c r="U339" i="1" l="1"/>
  <c r="U340" i="1" l="1"/>
  <c r="U341" i="1" l="1"/>
  <c r="U342" i="1" l="1"/>
  <c r="U343" i="1" l="1"/>
  <c r="U344" i="1" l="1"/>
  <c r="U345" i="1" l="1"/>
  <c r="U346" i="1" l="1"/>
  <c r="U347" i="1" l="1"/>
  <c r="U348" i="1" l="1"/>
  <c r="U349" i="1" l="1"/>
  <c r="U350" i="1" l="1"/>
  <c r="U351" i="1" l="1"/>
  <c r="U352" i="1" l="1"/>
  <c r="U353" i="1" l="1"/>
  <c r="U354" i="1" l="1"/>
  <c r="U355" i="1" l="1"/>
  <c r="U356" i="1" l="1"/>
  <c r="U357" i="1" l="1"/>
  <c r="U358" i="1" l="1"/>
  <c r="U359" i="1" l="1"/>
  <c r="U360" i="1" l="1"/>
  <c r="U361" i="1" l="1"/>
  <c r="U362" i="1" l="1"/>
  <c r="U363" i="1" l="1"/>
  <c r="U364" i="1" l="1"/>
  <c r="U365" i="1" l="1"/>
  <c r="U366" i="1" l="1"/>
  <c r="U367" i="1" l="1"/>
  <c r="U368" i="1" l="1"/>
  <c r="U369" i="1" l="1"/>
  <c r="U370" i="1" l="1"/>
  <c r="U371" i="1" l="1"/>
  <c r="U372" i="1" l="1"/>
  <c r="U373" i="1" l="1"/>
  <c r="U374" i="1" l="1"/>
  <c r="U375" i="1" l="1"/>
  <c r="U376" i="1" l="1"/>
  <c r="U377" i="1" l="1"/>
  <c r="U378" i="1" l="1"/>
  <c r="U379" i="1" l="1"/>
  <c r="U380" i="1" l="1"/>
  <c r="U381" i="1" l="1"/>
  <c r="U382" i="1" l="1"/>
  <c r="U383" i="1" l="1"/>
  <c r="U384" i="1" l="1"/>
  <c r="U385" i="1" l="1"/>
  <c r="U386" i="1" l="1"/>
  <c r="U387" i="1" l="1"/>
  <c r="U388" i="1" l="1"/>
  <c r="U389" i="1" l="1"/>
  <c r="U390" i="1" l="1"/>
  <c r="U391" i="1" l="1"/>
  <c r="U392" i="1" l="1"/>
  <c r="U393" i="1" l="1"/>
  <c r="U394" i="1" l="1"/>
  <c r="U395" i="1" l="1"/>
  <c r="U396" i="1" l="1"/>
  <c r="U397" i="1" l="1"/>
  <c r="U398" i="1" l="1"/>
  <c r="U399" i="1" l="1"/>
  <c r="U400" i="1" l="1"/>
  <c r="U401" i="1" l="1"/>
  <c r="U402" i="1" l="1"/>
  <c r="U403" i="1" l="1"/>
  <c r="U404" i="1" l="1"/>
  <c r="U405" i="1" l="1"/>
  <c r="U406" i="1" l="1"/>
  <c r="U407" i="1" l="1"/>
  <c r="U408" i="1" l="1"/>
  <c r="U409" i="1" l="1"/>
  <c r="U410" i="1" l="1"/>
  <c r="U411" i="1" l="1"/>
  <c r="U412" i="1" l="1"/>
  <c r="U413" i="1" l="1"/>
  <c r="U414" i="1" l="1"/>
  <c r="U415" i="1" l="1"/>
  <c r="U416" i="1" l="1"/>
  <c r="U417" i="1" l="1"/>
  <c r="U418" i="1" l="1"/>
  <c r="U419" i="1" l="1"/>
  <c r="U420" i="1" l="1"/>
  <c r="U421" i="1" l="1"/>
  <c r="U422" i="1" l="1"/>
  <c r="U423" i="1" l="1"/>
  <c r="U424" i="1" l="1"/>
  <c r="U425" i="1" l="1"/>
  <c r="U426" i="1" l="1"/>
  <c r="U427" i="1" l="1"/>
  <c r="U428" i="1" l="1"/>
  <c r="U429" i="1" l="1"/>
  <c r="U430" i="1" l="1"/>
  <c r="U431" i="1" l="1"/>
  <c r="U432" i="1" l="1"/>
  <c r="U433" i="1" l="1"/>
  <c r="U434" i="1" l="1"/>
  <c r="U435" i="1" l="1"/>
  <c r="U436" i="1" l="1"/>
  <c r="U437" i="1" l="1"/>
  <c r="U438" i="1" l="1"/>
  <c r="U439" i="1" l="1"/>
  <c r="U440" i="1" l="1"/>
  <c r="U441" i="1" l="1"/>
  <c r="U442" i="1" l="1"/>
  <c r="U443" i="1" l="1"/>
  <c r="U444" i="1" l="1"/>
  <c r="U445" i="1" l="1"/>
  <c r="U446" i="1" l="1"/>
  <c r="U447" i="1" l="1"/>
  <c r="U448" i="1" l="1"/>
  <c r="U449" i="1" l="1"/>
  <c r="U450" i="1" l="1"/>
  <c r="U451" i="1" l="1"/>
  <c r="U452" i="1" l="1"/>
  <c r="U453" i="1" l="1"/>
  <c r="U454" i="1" l="1"/>
  <c r="U455" i="1" l="1"/>
  <c r="U456" i="1" l="1"/>
  <c r="U457" i="1" l="1"/>
  <c r="U458" i="1" l="1"/>
  <c r="U459" i="1" l="1"/>
  <c r="U460" i="1" l="1"/>
  <c r="U461" i="1" l="1"/>
  <c r="U462" i="1" l="1"/>
  <c r="U463" i="1" l="1"/>
  <c r="U464" i="1" l="1"/>
  <c r="U465" i="1" l="1"/>
  <c r="U466" i="1" l="1"/>
  <c r="U467" i="1" l="1"/>
  <c r="U468" i="1" l="1"/>
  <c r="U469" i="1" l="1"/>
  <c r="U470" i="1" l="1"/>
  <c r="U471" i="1" l="1"/>
  <c r="U472" i="1" l="1"/>
  <c r="U473" i="1" l="1"/>
  <c r="U474" i="1" l="1"/>
  <c r="U475" i="1" l="1"/>
  <c r="U476" i="1" l="1"/>
  <c r="U477" i="1" l="1"/>
  <c r="U478" i="1" l="1"/>
  <c r="U479" i="1" l="1"/>
  <c r="U480" i="1" l="1"/>
  <c r="U481" i="1" l="1"/>
  <c r="U482" i="1" l="1"/>
  <c r="U483" i="1" l="1"/>
  <c r="U484" i="1" l="1"/>
  <c r="U485" i="1" l="1"/>
  <c r="U486" i="1" l="1"/>
  <c r="U487" i="1" l="1"/>
  <c r="U488" i="1" l="1"/>
  <c r="U489" i="1" l="1"/>
  <c r="U490" i="1" l="1"/>
  <c r="U491" i="1" l="1"/>
  <c r="U492" i="1" l="1"/>
  <c r="U493" i="1" l="1"/>
  <c r="U494" i="1" l="1"/>
  <c r="U495" i="1" l="1"/>
  <c r="U496" i="1" l="1"/>
  <c r="U497" i="1" l="1"/>
  <c r="U498" i="1" l="1"/>
  <c r="U499" i="1" l="1"/>
  <c r="U500" i="1" l="1"/>
  <c r="U501" i="1" l="1"/>
  <c r="U502" i="1" l="1"/>
  <c r="U503" i="1" l="1"/>
  <c r="U504" i="1" l="1"/>
  <c r="U505" i="1" l="1"/>
  <c r="U506" i="1" l="1"/>
  <c r="U507" i="1" l="1"/>
  <c r="U508" i="1" l="1"/>
  <c r="U509" i="1" l="1"/>
  <c r="U510" i="1" l="1"/>
  <c r="U511" i="1" l="1"/>
  <c r="U512" i="1" l="1"/>
  <c r="U513" i="1" l="1"/>
  <c r="U514" i="1" l="1"/>
  <c r="U515" i="1" l="1"/>
  <c r="U516" i="1" l="1"/>
  <c r="U517" i="1" l="1"/>
  <c r="U518" i="1" l="1"/>
  <c r="U519" i="1" l="1"/>
  <c r="U520" i="1" l="1"/>
  <c r="U521" i="1" l="1"/>
  <c r="U522" i="1" l="1"/>
  <c r="U523" i="1" l="1"/>
  <c r="U524" i="1" l="1"/>
  <c r="U525" i="1" l="1"/>
  <c r="U526" i="1" l="1"/>
  <c r="U527" i="1" l="1"/>
  <c r="U528" i="1" l="1"/>
  <c r="U529" i="1" l="1"/>
  <c r="U530" i="1" l="1"/>
  <c r="U531" i="1" l="1"/>
  <c r="U532" i="1" l="1"/>
  <c r="U533" i="1" l="1"/>
  <c r="U534" i="1" l="1"/>
  <c r="U535" i="1" l="1"/>
  <c r="U536" i="1" l="1"/>
  <c r="U537" i="1" l="1"/>
  <c r="U538" i="1" l="1"/>
  <c r="U539" i="1" l="1"/>
  <c r="U540" i="1" l="1"/>
  <c r="U541" i="1" l="1"/>
  <c r="U542" i="1" l="1"/>
  <c r="U543" i="1" l="1"/>
  <c r="U544" i="1" l="1"/>
  <c r="U545" i="1" l="1"/>
  <c r="U546" i="1" l="1"/>
  <c r="U547" i="1" l="1"/>
  <c r="U548" i="1" l="1"/>
  <c r="U549" i="1" l="1"/>
  <c r="U550" i="1" l="1"/>
  <c r="U551" i="1" l="1"/>
  <c r="U552" i="1" l="1"/>
  <c r="U553" i="1" l="1"/>
  <c r="U554" i="1" l="1"/>
  <c r="U555" i="1" l="1"/>
  <c r="U556" i="1" l="1"/>
  <c r="U557" i="1" l="1"/>
  <c r="U558" i="1" l="1"/>
  <c r="U559" i="1" l="1"/>
  <c r="U560" i="1" l="1"/>
  <c r="U561" i="1" l="1"/>
  <c r="U562" i="1" l="1"/>
  <c r="U563" i="1" l="1"/>
  <c r="U564" i="1" l="1"/>
  <c r="U565" i="1" l="1"/>
  <c r="U566" i="1" l="1"/>
  <c r="U567" i="1" l="1"/>
  <c r="U568" i="1" l="1"/>
  <c r="U569" i="1" l="1"/>
  <c r="U570" i="1" l="1"/>
  <c r="U571" i="1" l="1"/>
  <c r="U572" i="1" l="1"/>
  <c r="U573" i="1" l="1"/>
  <c r="U574" i="1" l="1"/>
  <c r="U575" i="1" l="1"/>
  <c r="U576" i="1" l="1"/>
  <c r="U577" i="1" l="1"/>
  <c r="U578" i="1" l="1"/>
  <c r="U579" i="1" l="1"/>
  <c r="U580" i="1" l="1"/>
  <c r="U581" i="1" l="1"/>
  <c r="U582" i="1" l="1"/>
  <c r="U583" i="1" l="1"/>
  <c r="U584" i="1" l="1"/>
  <c r="U585" i="1" l="1"/>
  <c r="U586" i="1" l="1"/>
  <c r="U587" i="1" l="1"/>
  <c r="U588" i="1" l="1"/>
  <c r="U589" i="1" l="1"/>
  <c r="U590" i="1" l="1"/>
  <c r="U591" i="1" l="1"/>
  <c r="U592" i="1" l="1"/>
  <c r="U593" i="1" l="1"/>
  <c r="U594" i="1" l="1"/>
  <c r="U595" i="1" l="1"/>
  <c r="U596" i="1" l="1"/>
  <c r="U597" i="1" l="1"/>
  <c r="U598" i="1" l="1"/>
  <c r="U599" i="1" l="1"/>
  <c r="U600" i="1" l="1"/>
  <c r="U601" i="1" l="1"/>
  <c r="U602" i="1" l="1"/>
  <c r="U603" i="1" l="1"/>
  <c r="U604" i="1" l="1"/>
  <c r="U605" i="1" l="1"/>
  <c r="U606" i="1" l="1"/>
  <c r="U607" i="1" l="1"/>
  <c r="U608" i="1" l="1"/>
  <c r="U609" i="1" l="1"/>
  <c r="U610" i="1" l="1"/>
  <c r="U611" i="1" l="1"/>
  <c r="U612" i="1" l="1"/>
  <c r="U613" i="1" l="1"/>
  <c r="U614" i="1" l="1"/>
  <c r="U615" i="1" l="1"/>
  <c r="U616" i="1" l="1"/>
  <c r="U617" i="1" l="1"/>
  <c r="U618" i="1" l="1"/>
  <c r="U619" i="1" l="1"/>
  <c r="U620" i="1" l="1"/>
  <c r="U621" i="1" l="1"/>
  <c r="U622" i="1" l="1"/>
  <c r="U623" i="1" l="1"/>
  <c r="U624" i="1" l="1"/>
  <c r="U625" i="1" l="1"/>
  <c r="U626" i="1" l="1"/>
  <c r="U627" i="1" l="1"/>
  <c r="U628" i="1" l="1"/>
  <c r="P7" i="2"/>
  <c r="U629" i="1" l="1"/>
  <c r="U630" i="1" l="1"/>
  <c r="U631" i="1" l="1"/>
  <c r="U632" i="1" l="1"/>
  <c r="U633" i="1" l="1"/>
  <c r="U634" i="1" l="1"/>
  <c r="U635" i="1" l="1"/>
  <c r="U636" i="1" l="1"/>
  <c r="U637" i="1" l="1"/>
  <c r="U638" i="1" l="1"/>
  <c r="U639" i="1" l="1"/>
  <c r="U640" i="1" l="1"/>
  <c r="U641" i="1" l="1"/>
  <c r="U642" i="1" l="1"/>
  <c r="U643" i="1" l="1"/>
  <c r="U644" i="1" l="1"/>
  <c r="U645" i="1" l="1"/>
  <c r="U646" i="1" l="1"/>
  <c r="U647" i="1" l="1"/>
  <c r="U648" i="1" l="1"/>
  <c r="U649" i="1" l="1"/>
  <c r="U650" i="1" l="1"/>
  <c r="U651" i="1" l="1"/>
  <c r="U652" i="1" l="1"/>
  <c r="U653" i="1" l="1"/>
  <c r="U654" i="1" l="1"/>
  <c r="U655" i="1" l="1"/>
  <c r="U656" i="1" l="1"/>
  <c r="U657" i="1" l="1"/>
  <c r="U658" i="1" l="1"/>
  <c r="U659" i="1" l="1"/>
</calcChain>
</file>

<file path=xl/sharedStrings.xml><?xml version="1.0" encoding="utf-8"?>
<sst xmlns="http://schemas.openxmlformats.org/spreadsheetml/2006/main" count="2426" uniqueCount="421">
  <si>
    <t>検索</t>
    <rPh sb="0" eb="2">
      <t>ケンサク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</si>
  <si>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</si>
  <si>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</si>
  <si>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年度</t>
    <rPh sb="0" eb="2">
      <t>ネンド</t>
    </rPh>
    <phoneticPr fontId="1"/>
  </si>
  <si>
    <t>勘定項目</t>
    <rPh sb="0" eb="2">
      <t>カンジョウ</t>
    </rPh>
    <rPh sb="2" eb="4">
      <t>コウモク</t>
    </rPh>
    <phoneticPr fontId="1"/>
  </si>
  <si>
    <t>科目名</t>
    <rPh sb="0" eb="3">
      <t>カモクメイ</t>
    </rPh>
    <phoneticPr fontId="1"/>
  </si>
  <si>
    <t>コード</t>
    <phoneticPr fontId="1"/>
  </si>
  <si>
    <t>摘　要</t>
  </si>
  <si>
    <t>借方金額</t>
  </si>
  <si>
    <t>貸方金額</t>
  </si>
  <si>
    <t>差引残高</t>
  </si>
  <si>
    <t>処理番号</t>
    <rPh sb="0" eb="2">
      <t>ショリ</t>
    </rPh>
    <rPh sb="2" eb="4">
      <t>バンゴウ</t>
    </rPh>
    <phoneticPr fontId="1"/>
  </si>
  <si>
    <t>領収書</t>
    <rPh sb="0" eb="3">
      <t>リョウシュウショ</t>
    </rPh>
    <phoneticPr fontId="1"/>
  </si>
  <si>
    <t>個数合計</t>
    <rPh sb="0" eb="2">
      <t>コスウ</t>
    </rPh>
    <rPh sb="2" eb="4">
      <t>ゴウケイ</t>
    </rPh>
    <phoneticPr fontId="1"/>
  </si>
  <si>
    <t>融資の部</t>
    <rPh sb="0" eb="2">
      <t>ユウシ</t>
    </rPh>
    <rPh sb="3" eb="4">
      <t>ブ</t>
    </rPh>
    <phoneticPr fontId="1"/>
  </si>
  <si>
    <t>氏名</t>
    <rPh sb="0" eb="2">
      <t>シメイ</t>
    </rPh>
    <phoneticPr fontId="1"/>
  </si>
  <si>
    <t>名前</t>
    <rPh sb="0" eb="2">
      <t>ナマエ</t>
    </rPh>
    <phoneticPr fontId="1"/>
  </si>
  <si>
    <t>最高額</t>
    <rPh sb="0" eb="3">
      <t>サイコウガク</t>
    </rPh>
    <phoneticPr fontId="1"/>
  </si>
  <si>
    <t>平均収入</t>
    <rPh sb="0" eb="2">
      <t>ヘイキン</t>
    </rPh>
    <rPh sb="2" eb="4">
      <t>シュウニュウ</t>
    </rPh>
    <phoneticPr fontId="1"/>
  </si>
  <si>
    <t>最低額</t>
    <rPh sb="0" eb="3">
      <t>サイテイガク</t>
    </rPh>
    <phoneticPr fontId="1"/>
  </si>
  <si>
    <t>平均支出</t>
    <rPh sb="0" eb="2">
      <t>ヘイキン</t>
    </rPh>
    <rPh sb="2" eb="4">
      <t>シシュツ</t>
    </rPh>
    <phoneticPr fontId="1"/>
  </si>
  <si>
    <t>合計収入</t>
    <rPh sb="0" eb="2">
      <t>ゴウケイ</t>
    </rPh>
    <rPh sb="2" eb="4">
      <t>シュウニュウ</t>
    </rPh>
    <phoneticPr fontId="1"/>
  </si>
  <si>
    <t>合計支出</t>
    <rPh sb="0" eb="2">
      <t>ゴウケイ</t>
    </rPh>
    <rPh sb="2" eb="4">
      <t>シシュツ</t>
    </rPh>
    <phoneticPr fontId="1"/>
  </si>
  <si>
    <t>計算上残高</t>
    <rPh sb="0" eb="3">
      <t>ケイサンジョウ</t>
    </rPh>
    <rPh sb="3" eb="5">
      <t>ザンダカ</t>
    </rPh>
    <phoneticPr fontId="1"/>
  </si>
  <si>
    <t>年</t>
    <rPh sb="0" eb="1">
      <t>ネン</t>
    </rPh>
    <phoneticPr fontId="1"/>
  </si>
  <si>
    <t>Last Update</t>
    <phoneticPr fontId="1"/>
  </si>
  <si>
    <t>since 2015~</t>
    <phoneticPr fontId="1"/>
  </si>
  <si>
    <t>28年度</t>
    <rPh sb="2" eb="4">
      <t>ネンド</t>
    </rPh>
    <phoneticPr fontId="1"/>
  </si>
  <si>
    <t>AA-01</t>
    <phoneticPr fontId="1"/>
  </si>
  <si>
    <t>調整</t>
    <rPh sb="0" eb="2">
      <t>チョウセイ</t>
    </rPh>
    <phoneticPr fontId="1"/>
  </si>
  <si>
    <t>食品</t>
    <rPh sb="0" eb="2">
      <t>ショクヒン</t>
    </rPh>
    <phoneticPr fontId="1"/>
  </si>
  <si>
    <t>パン</t>
    <phoneticPr fontId="1"/>
  </si>
  <si>
    <t>ご飯もの</t>
    <rPh sb="1" eb="2">
      <t>ハン</t>
    </rPh>
    <phoneticPr fontId="1"/>
  </si>
  <si>
    <t>飲料</t>
    <rPh sb="0" eb="2">
      <t>インリョウ</t>
    </rPh>
    <phoneticPr fontId="1"/>
  </si>
  <si>
    <t>菓子類</t>
    <rPh sb="0" eb="3">
      <t>カシルイ</t>
    </rPh>
    <phoneticPr fontId="1"/>
  </si>
  <si>
    <t>機械類</t>
    <rPh sb="0" eb="3">
      <t>キカイルイ</t>
    </rPh>
    <phoneticPr fontId="1"/>
  </si>
  <si>
    <t>パソコンパーツ</t>
    <phoneticPr fontId="1"/>
  </si>
  <si>
    <t>パソコン本体</t>
    <rPh sb="4" eb="6">
      <t>ホンタイ</t>
    </rPh>
    <phoneticPr fontId="1"/>
  </si>
  <si>
    <t>スマートフォン本体</t>
    <rPh sb="7" eb="9">
      <t>ホンタイ</t>
    </rPh>
    <phoneticPr fontId="1"/>
  </si>
  <si>
    <t>その他</t>
    <rPh sb="2" eb="3">
      <t>タ</t>
    </rPh>
    <phoneticPr fontId="1"/>
  </si>
  <si>
    <t>携帯電話本体</t>
    <rPh sb="0" eb="2">
      <t>ケイタイ</t>
    </rPh>
    <rPh sb="2" eb="4">
      <t>デンワ</t>
    </rPh>
    <rPh sb="4" eb="6">
      <t>ホンタイ</t>
    </rPh>
    <phoneticPr fontId="1"/>
  </si>
  <si>
    <t>充電器</t>
    <rPh sb="0" eb="3">
      <t>ジュウデンキ</t>
    </rPh>
    <phoneticPr fontId="1"/>
  </si>
  <si>
    <t>タブレット本体</t>
    <rPh sb="5" eb="7">
      <t>ホンタイ</t>
    </rPh>
    <phoneticPr fontId="1"/>
  </si>
  <si>
    <t>カメラ</t>
    <phoneticPr fontId="1"/>
  </si>
  <si>
    <t>家電</t>
    <rPh sb="0" eb="2">
      <t>カデン</t>
    </rPh>
    <phoneticPr fontId="1"/>
  </si>
  <si>
    <t>オーディオ機器</t>
    <rPh sb="5" eb="7">
      <t>キキ</t>
    </rPh>
    <phoneticPr fontId="1"/>
  </si>
  <si>
    <t>日用品</t>
    <rPh sb="0" eb="3">
      <t>ニチヨウヒン</t>
    </rPh>
    <phoneticPr fontId="1"/>
  </si>
  <si>
    <t>筆記具</t>
    <rPh sb="0" eb="3">
      <t>ヒッキグ</t>
    </rPh>
    <phoneticPr fontId="1"/>
  </si>
  <si>
    <t>ノート</t>
    <phoneticPr fontId="1"/>
  </si>
  <si>
    <t>工具</t>
    <rPh sb="0" eb="2">
      <t>コウグ</t>
    </rPh>
    <phoneticPr fontId="1"/>
  </si>
  <si>
    <t>文房具・事務用品</t>
    <rPh sb="0" eb="3">
      <t>ブンボウグ</t>
    </rPh>
    <rPh sb="4" eb="6">
      <t>ジム</t>
    </rPh>
    <rPh sb="6" eb="8">
      <t>ヨウヒン</t>
    </rPh>
    <phoneticPr fontId="1"/>
  </si>
  <si>
    <t>MP-01</t>
    <phoneticPr fontId="1"/>
  </si>
  <si>
    <t>MP-02</t>
    <phoneticPr fontId="1"/>
  </si>
  <si>
    <t>SP-01</t>
    <phoneticPr fontId="1"/>
  </si>
  <si>
    <t>SR-01</t>
    <phoneticPr fontId="1"/>
  </si>
  <si>
    <t>SD-01</t>
    <phoneticPr fontId="1"/>
  </si>
  <si>
    <t>ST-01</t>
    <phoneticPr fontId="1"/>
  </si>
  <si>
    <t>SO-01</t>
    <phoneticPr fontId="1"/>
  </si>
  <si>
    <t>MS-01</t>
    <phoneticPr fontId="1"/>
  </si>
  <si>
    <t>MM-01</t>
    <phoneticPr fontId="1"/>
  </si>
  <si>
    <t>MC-01</t>
    <phoneticPr fontId="1"/>
  </si>
  <si>
    <t>MT-01</t>
    <phoneticPr fontId="1"/>
  </si>
  <si>
    <t>MC-02</t>
    <phoneticPr fontId="1"/>
  </si>
  <si>
    <t>ME-01</t>
    <phoneticPr fontId="1"/>
  </si>
  <si>
    <t>MA-01</t>
    <phoneticPr fontId="1"/>
  </si>
  <si>
    <t>MO-01</t>
    <phoneticPr fontId="1"/>
  </si>
  <si>
    <t>DO-01</t>
    <phoneticPr fontId="1"/>
  </si>
  <si>
    <t>OS-01</t>
    <phoneticPr fontId="1"/>
  </si>
  <si>
    <t>ON-01</t>
    <phoneticPr fontId="1"/>
  </si>
  <si>
    <t>OM-01</t>
    <phoneticPr fontId="1"/>
  </si>
  <si>
    <t>OO-01</t>
    <phoneticPr fontId="1"/>
  </si>
  <si>
    <t>機密</t>
    <rPh sb="0" eb="2">
      <t>キミツ</t>
    </rPh>
    <phoneticPr fontId="1"/>
  </si>
  <si>
    <t>AS-01</t>
    <phoneticPr fontId="1"/>
  </si>
  <si>
    <t>AO-01</t>
    <phoneticPr fontId="1"/>
  </si>
  <si>
    <t>書籍</t>
    <rPh sb="0" eb="2">
      <t>ショセキ</t>
    </rPh>
    <phoneticPr fontId="1"/>
  </si>
  <si>
    <t>小説</t>
    <rPh sb="0" eb="2">
      <t>ショウセツ</t>
    </rPh>
    <phoneticPr fontId="1"/>
  </si>
  <si>
    <t>新書</t>
    <rPh sb="0" eb="2">
      <t>シンショ</t>
    </rPh>
    <phoneticPr fontId="1"/>
  </si>
  <si>
    <t>漫画</t>
    <rPh sb="0" eb="2">
      <t>マンガ</t>
    </rPh>
    <phoneticPr fontId="1"/>
  </si>
  <si>
    <t>教育</t>
    <rPh sb="0" eb="2">
      <t>キョウイク</t>
    </rPh>
    <phoneticPr fontId="1"/>
  </si>
  <si>
    <t>BN-01</t>
    <phoneticPr fontId="1"/>
  </si>
  <si>
    <t>BN-02</t>
    <phoneticPr fontId="1"/>
  </si>
  <si>
    <t>BM-01</t>
    <phoneticPr fontId="1"/>
  </si>
  <si>
    <t>BO-01</t>
    <phoneticPr fontId="1"/>
  </si>
  <si>
    <t>BE-01</t>
    <phoneticPr fontId="1"/>
  </si>
  <si>
    <t>雑誌</t>
    <rPh sb="0" eb="2">
      <t>ザッシ</t>
    </rPh>
    <phoneticPr fontId="1"/>
  </si>
  <si>
    <t>BC-01</t>
    <phoneticPr fontId="1"/>
  </si>
  <si>
    <t>パソコン周辺機器</t>
    <rPh sb="4" eb="6">
      <t>シュウヘン</t>
    </rPh>
    <rPh sb="6" eb="8">
      <t>キキ</t>
    </rPh>
    <phoneticPr fontId="1"/>
  </si>
  <si>
    <t>MP-03</t>
    <phoneticPr fontId="1"/>
  </si>
  <si>
    <t>MH-01</t>
    <phoneticPr fontId="1"/>
  </si>
  <si>
    <t>チャージ</t>
    <phoneticPr fontId="1"/>
  </si>
  <si>
    <t>交通ICカード</t>
    <rPh sb="0" eb="2">
      <t>コウツウ</t>
    </rPh>
    <phoneticPr fontId="1"/>
  </si>
  <si>
    <t>電子マネー</t>
    <rPh sb="0" eb="2">
      <t>デンシ</t>
    </rPh>
    <phoneticPr fontId="1"/>
  </si>
  <si>
    <t>クラウドサービス</t>
    <phoneticPr fontId="1"/>
  </si>
  <si>
    <t>その他</t>
    <rPh sb="2" eb="3">
      <t>タ</t>
    </rPh>
    <phoneticPr fontId="1"/>
  </si>
  <si>
    <t>CI-01</t>
    <phoneticPr fontId="1"/>
  </si>
  <si>
    <t>CC-01</t>
    <phoneticPr fontId="1"/>
  </si>
  <si>
    <t>CC-02</t>
    <phoneticPr fontId="1"/>
  </si>
  <si>
    <t>CO-01</t>
    <phoneticPr fontId="1"/>
  </si>
  <si>
    <t>普通残高</t>
    <rPh sb="0" eb="2">
      <t>フツウ</t>
    </rPh>
    <rPh sb="2" eb="4">
      <t>ザンダカ</t>
    </rPh>
    <phoneticPr fontId="1"/>
  </si>
  <si>
    <t>"</t>
    <phoneticPr fontId="1"/>
  </si>
  <si>
    <t>,</t>
    <phoneticPr fontId="1"/>
  </si>
  <si>
    <t>L7</t>
    <phoneticPr fontId="1"/>
  </si>
  <si>
    <t>=</t>
    <phoneticPr fontId="1"/>
  </si>
  <si>
    <t>(</t>
    <phoneticPr fontId="1"/>
  </si>
  <si>
    <t>IF</t>
    <phoneticPr fontId="1"/>
  </si>
  <si>
    <t>))))))))))))))))))))))))))))))</t>
    <phoneticPr fontId="1"/>
  </si>
  <si>
    <t>IF</t>
    <phoneticPr fontId="1"/>
  </si>
  <si>
    <t>.AddItem "</t>
  </si>
  <si>
    <t>"</t>
    <phoneticPr fontId="1"/>
  </si>
  <si>
    <t>.AddItem "パン"</t>
  </si>
  <si>
    <t>.AddItem "ご飯もの"</t>
  </si>
  <si>
    <t>.AddItem "飲料"</t>
  </si>
  <si>
    <t>.AddItem "菓子類"</t>
  </si>
  <si>
    <t>.AddItem "その他"</t>
  </si>
  <si>
    <t>.AddItem "パソコン本体"</t>
  </si>
  <si>
    <t>.AddItem "パソコンパーツ"</t>
  </si>
  <si>
    <t>.AddItem "パソコン周辺機器"</t>
  </si>
  <si>
    <t>.AddItem "スマートフォン本体"</t>
  </si>
  <si>
    <t>.AddItem "携帯電話本体"</t>
  </si>
  <si>
    <t>.AddItem "充電器"</t>
  </si>
  <si>
    <t>.AddItem "タブレット本体"</t>
  </si>
  <si>
    <t>.AddItem "カメラ"</t>
  </si>
  <si>
    <t>.AddItem "家電"</t>
  </si>
  <si>
    <t>.AddItem "オーディオ機器"</t>
  </si>
  <si>
    <t>.AddItem "工具"</t>
  </si>
  <si>
    <t>.AddItem "筆記具"</t>
  </si>
  <si>
    <t>.AddItem "ノート"</t>
  </si>
  <si>
    <t>.AddItem "小説"</t>
  </si>
  <si>
    <t>.AddItem "新書"</t>
  </si>
  <si>
    <t>.AddItem "雑誌"</t>
  </si>
  <si>
    <t>.AddItem "漫画"</t>
  </si>
  <si>
    <t>.AddItem "教育"</t>
  </si>
  <si>
    <t>.AddItem "交通ICカード"</t>
  </si>
  <si>
    <t>.AddItem "電子マネー"</t>
  </si>
  <si>
    <t>.AddItem "クラウドサービス"</t>
  </si>
  <si>
    <t>.AddItem "調整"</t>
  </si>
  <si>
    <t>.AddItem "機密"</t>
  </si>
  <si>
    <t>全表示</t>
    <rPh sb="0" eb="1">
      <t>ゼン</t>
    </rPh>
    <rPh sb="1" eb="3">
      <t>ヒョウジ</t>
    </rPh>
    <phoneticPr fontId="1"/>
  </si>
  <si>
    <t>.AddItem "食品"</t>
  </si>
  <si>
    <t>.AddItem "文房具・事務用品"</t>
  </si>
  <si>
    <t>.AddItem "チャージ"</t>
  </si>
  <si>
    <t>.AddItem "全表示"</t>
  </si>
  <si>
    <t>処理番号から検索</t>
    <rPh sb="0" eb="2">
      <t>ショリ</t>
    </rPh>
    <rPh sb="2" eb="4">
      <t>バンゴウ</t>
    </rPh>
    <rPh sb="6" eb="8">
      <t>ケンサク</t>
    </rPh>
    <phoneticPr fontId="1"/>
  </si>
  <si>
    <t>取扱日から検索</t>
    <rPh sb="0" eb="2">
      <t>トリアツカイ</t>
    </rPh>
    <rPh sb="2" eb="3">
      <t>ビ</t>
    </rPh>
    <rPh sb="5" eb="7">
      <t>ケンサク</t>
    </rPh>
    <phoneticPr fontId="1"/>
  </si>
  <si>
    <t>科目目から検索</t>
    <rPh sb="0" eb="2">
      <t>カモク</t>
    </rPh>
    <rPh sb="2" eb="3">
      <t>メ</t>
    </rPh>
    <rPh sb="5" eb="7">
      <t>ケンサク</t>
    </rPh>
    <phoneticPr fontId="1"/>
  </si>
  <si>
    <t>全文</t>
    <rPh sb="0" eb="2">
      <t>ゼンブン</t>
    </rPh>
    <phoneticPr fontId="1"/>
  </si>
  <si>
    <t>取扱区分</t>
    <rPh sb="0" eb="2">
      <t>トリアツカイ</t>
    </rPh>
    <rPh sb="2" eb="4">
      <t>クブン</t>
    </rPh>
    <phoneticPr fontId="1"/>
  </si>
  <si>
    <t>処理番号</t>
    <rPh sb="0" eb="2">
      <t>ショリ</t>
    </rPh>
    <rPh sb="2" eb="4">
      <t>バンゴウ</t>
    </rPh>
    <phoneticPr fontId="1"/>
  </si>
  <si>
    <t>～</t>
    <phoneticPr fontId="1"/>
  </si>
  <si>
    <t>科目名</t>
    <rPh sb="0" eb="2">
      <t>カモク</t>
    </rPh>
    <rPh sb="2" eb="3">
      <t>メイ</t>
    </rPh>
    <phoneticPr fontId="1"/>
  </si>
  <si>
    <t>詳細</t>
    <rPh sb="0" eb="2">
      <t>ショウサイ</t>
    </rPh>
    <phoneticPr fontId="1"/>
  </si>
  <si>
    <t>or</t>
    <phoneticPr fontId="1"/>
  </si>
  <si>
    <t>and</t>
    <phoneticPr fontId="1"/>
  </si>
  <si>
    <t>(yyyy/mm/ddの形で入力)</t>
    <rPh sb="12" eb="13">
      <t>カタチ</t>
    </rPh>
    <rPh sb="14" eb="16">
      <t>ニュウリョク</t>
    </rPh>
    <phoneticPr fontId="1"/>
  </si>
  <si>
    <t>.AddItem "機械類"</t>
    <phoneticPr fontId="1"/>
  </si>
  <si>
    <t>.AddItem "日用品"</t>
    <phoneticPr fontId="1"/>
  </si>
  <si>
    <t>.AddItem "書籍"</t>
    <phoneticPr fontId="1"/>
  </si>
  <si>
    <t>パン</t>
  </si>
  <si>
    <t>SP-01</t>
    <phoneticPr fontId="1"/>
  </si>
  <si>
    <t>ご飯もの</t>
  </si>
  <si>
    <t>SR-01</t>
    <phoneticPr fontId="1"/>
  </si>
  <si>
    <t>おかず</t>
  </si>
  <si>
    <t>SS-01</t>
    <phoneticPr fontId="1"/>
  </si>
  <si>
    <t>飲料</t>
  </si>
  <si>
    <t>SD-01</t>
    <phoneticPr fontId="1"/>
  </si>
  <si>
    <t>菓子類</t>
  </si>
  <si>
    <t>ST-01</t>
    <phoneticPr fontId="1"/>
  </si>
  <si>
    <t>その他</t>
  </si>
  <si>
    <t>SO-01</t>
    <phoneticPr fontId="1"/>
  </si>
  <si>
    <t>デスクトップパソコン</t>
  </si>
  <si>
    <t>MP-01</t>
    <phoneticPr fontId="1"/>
  </si>
  <si>
    <t>ノートパソコン</t>
  </si>
  <si>
    <t>ML-01</t>
    <phoneticPr fontId="1"/>
  </si>
  <si>
    <t>パソコンパーツ</t>
  </si>
  <si>
    <t>MP-02</t>
    <phoneticPr fontId="1"/>
  </si>
  <si>
    <t>パソコン周辺機器</t>
  </si>
  <si>
    <t>MP-03</t>
    <phoneticPr fontId="1"/>
  </si>
  <si>
    <t>スマートフォン本体</t>
  </si>
  <si>
    <t>MS-01</t>
    <phoneticPr fontId="1"/>
  </si>
  <si>
    <t>タブレット本体</t>
  </si>
  <si>
    <t>MT-01</t>
    <phoneticPr fontId="1"/>
  </si>
  <si>
    <t>携帯電話本体</t>
  </si>
  <si>
    <t>MM-01</t>
    <phoneticPr fontId="1"/>
  </si>
  <si>
    <t>充電器</t>
  </si>
  <si>
    <t>MC-01</t>
    <phoneticPr fontId="1"/>
  </si>
  <si>
    <t>カメラ</t>
  </si>
  <si>
    <t>MC-02</t>
    <phoneticPr fontId="1"/>
  </si>
  <si>
    <t>家電</t>
  </si>
  <si>
    <t>ME-01</t>
    <phoneticPr fontId="1"/>
  </si>
  <si>
    <t>オーディオ機器</t>
  </si>
  <si>
    <t>MA-01</t>
    <phoneticPr fontId="1"/>
  </si>
  <si>
    <t>電気工具</t>
  </si>
  <si>
    <t>MH-01</t>
    <phoneticPr fontId="1"/>
  </si>
  <si>
    <t>洋服</t>
  </si>
  <si>
    <t>DC-01</t>
    <phoneticPr fontId="1"/>
  </si>
  <si>
    <t>靴</t>
  </si>
  <si>
    <t>DS-01</t>
    <phoneticPr fontId="1"/>
  </si>
  <si>
    <t>時計</t>
  </si>
  <si>
    <t>DW-01</t>
    <phoneticPr fontId="1"/>
  </si>
  <si>
    <t>アクセサリー</t>
  </si>
  <si>
    <t>DA-01</t>
    <phoneticPr fontId="1"/>
  </si>
  <si>
    <t>DO-01</t>
    <phoneticPr fontId="1"/>
  </si>
  <si>
    <t>雑貨</t>
    <rPh sb="0" eb="2">
      <t>ザッカ</t>
    </rPh>
    <phoneticPr fontId="1"/>
  </si>
  <si>
    <t>食器</t>
  </si>
  <si>
    <t>SD-01</t>
    <phoneticPr fontId="1"/>
  </si>
  <si>
    <t>家具</t>
  </si>
  <si>
    <t>SF-01</t>
    <phoneticPr fontId="1"/>
  </si>
  <si>
    <t>寝具</t>
  </si>
  <si>
    <t>SB-01</t>
    <phoneticPr fontId="1"/>
  </si>
  <si>
    <t>小物</t>
  </si>
  <si>
    <t>SS-01</t>
    <phoneticPr fontId="1"/>
  </si>
  <si>
    <t>SO-01</t>
    <phoneticPr fontId="1"/>
  </si>
  <si>
    <t xml:space="preserve"> 文房具・事務用品</t>
    <rPh sb="1" eb="4">
      <t>ブンボウグ</t>
    </rPh>
    <rPh sb="5" eb="7">
      <t>ジム</t>
    </rPh>
    <rPh sb="7" eb="9">
      <t>ヨウヒン</t>
    </rPh>
    <phoneticPr fontId="1"/>
  </si>
  <si>
    <t>筆記具</t>
  </si>
  <si>
    <t>OS-01</t>
    <phoneticPr fontId="1"/>
  </si>
  <si>
    <t>ノート</t>
  </si>
  <si>
    <t>ON-01</t>
    <phoneticPr fontId="1"/>
  </si>
  <si>
    <t>ルーズリーフ</t>
  </si>
  <si>
    <t>OR-01</t>
    <phoneticPr fontId="1"/>
  </si>
  <si>
    <t>工具</t>
  </si>
  <si>
    <t>OM-01</t>
    <phoneticPr fontId="1"/>
  </si>
  <si>
    <t>OO-01</t>
    <phoneticPr fontId="1"/>
  </si>
  <si>
    <t>小説</t>
  </si>
  <si>
    <t>BN-01</t>
    <phoneticPr fontId="1"/>
  </si>
  <si>
    <t>新書</t>
  </si>
  <si>
    <t>BN-02</t>
    <phoneticPr fontId="1"/>
  </si>
  <si>
    <t>雑誌</t>
  </si>
  <si>
    <t>BM-01</t>
    <phoneticPr fontId="1"/>
  </si>
  <si>
    <t>漫画</t>
  </si>
  <si>
    <t>BC-01</t>
    <phoneticPr fontId="1"/>
  </si>
  <si>
    <t>教育</t>
  </si>
  <si>
    <t>BE-01</t>
    <phoneticPr fontId="1"/>
  </si>
  <si>
    <t>BO-01</t>
    <phoneticPr fontId="1"/>
  </si>
  <si>
    <t>チャージ</t>
    <phoneticPr fontId="1"/>
  </si>
  <si>
    <t>交通ICカード</t>
  </si>
  <si>
    <t>CI-01</t>
    <phoneticPr fontId="1"/>
  </si>
  <si>
    <t>電子マネー</t>
  </si>
  <si>
    <t>CC-01</t>
    <phoneticPr fontId="1"/>
  </si>
  <si>
    <t>クラウド課金</t>
  </si>
  <si>
    <t>CC-02</t>
    <phoneticPr fontId="1"/>
  </si>
  <si>
    <t>ゲーム課金</t>
  </si>
  <si>
    <t>CG-01</t>
    <phoneticPr fontId="1"/>
  </si>
  <si>
    <t>CO-01</t>
    <phoneticPr fontId="1"/>
  </si>
  <si>
    <t>収入</t>
    <rPh sb="0" eb="2">
      <t>シュウニュウ</t>
    </rPh>
    <phoneticPr fontId="1"/>
  </si>
  <si>
    <t>給与</t>
    <rPh sb="0" eb="2">
      <t>キュウヨ</t>
    </rPh>
    <phoneticPr fontId="1"/>
  </si>
  <si>
    <t>IS-01</t>
    <phoneticPr fontId="1"/>
  </si>
  <si>
    <t>償却業務</t>
    <rPh sb="0" eb="2">
      <t>ショウキャク</t>
    </rPh>
    <rPh sb="2" eb="4">
      <t>ギョウム</t>
    </rPh>
    <phoneticPr fontId="1"/>
  </si>
  <si>
    <t>IB-01</t>
    <phoneticPr fontId="1"/>
  </si>
  <si>
    <t>IO-01</t>
    <phoneticPr fontId="1"/>
  </si>
  <si>
    <t>調整</t>
  </si>
  <si>
    <t>AA-01</t>
    <phoneticPr fontId="1"/>
  </si>
  <si>
    <t>機密</t>
  </si>
  <si>
    <t>AS-01</t>
    <phoneticPr fontId="1"/>
  </si>
  <si>
    <t>AO-01</t>
    <phoneticPr fontId="1"/>
  </si>
  <si>
    <t>MO-01</t>
    <phoneticPr fontId="1"/>
  </si>
  <si>
    <t>列1</t>
  </si>
  <si>
    <t>.additem</t>
    <phoneticPr fontId="1"/>
  </si>
  <si>
    <t>"</t>
    <phoneticPr fontId="1"/>
  </si>
  <si>
    <t>.additem "パン"</t>
  </si>
  <si>
    <t>.additem "ご飯もの"</t>
  </si>
  <si>
    <t>.additem "おかず"</t>
  </si>
  <si>
    <t>.additem "飲料"</t>
  </si>
  <si>
    <t>.additem "菓子類"</t>
  </si>
  <si>
    <t>.additem "デスクトップパソコン"</t>
  </si>
  <si>
    <t>.additem "ノートパソコン"</t>
  </si>
  <si>
    <t>.additem "パソコンパーツ"</t>
  </si>
  <si>
    <t>.additem "パソコン周辺機器"</t>
  </si>
  <si>
    <t>.additem "スマートフォン本体"</t>
  </si>
  <si>
    <t>.additem "タブレット本体"</t>
  </si>
  <si>
    <t>.additem "携帯電話本体"</t>
  </si>
  <si>
    <t>.additem "充電器"</t>
  </si>
  <si>
    <t>.additem "カメラ"</t>
  </si>
  <si>
    <t>.additem "家電"</t>
  </si>
  <si>
    <t>.additem "オーディオ機器"</t>
  </si>
  <si>
    <t>.additem "電気工具"</t>
  </si>
  <si>
    <t>.additem "洋服"</t>
  </si>
  <si>
    <t>.additem "靴"</t>
  </si>
  <si>
    <t>.additem "時計"</t>
  </si>
  <si>
    <t>.additem "アクセサリー"</t>
  </si>
  <si>
    <t>.additem "その他"</t>
  </si>
  <si>
    <t>.additem "食器"</t>
  </si>
  <si>
    <t>.additem "家具"</t>
  </si>
  <si>
    <t>.additem "寝具"</t>
  </si>
  <si>
    <t>.additem "小物"</t>
  </si>
  <si>
    <t>.additem "筆記具"</t>
  </si>
  <si>
    <t>.additem "ノート"</t>
  </si>
  <si>
    <t>.additem "ルーズリーフ"</t>
  </si>
  <si>
    <t>.additem "工具"</t>
  </si>
  <si>
    <t>.additem "小説"</t>
  </si>
  <si>
    <t>.additem "新書"</t>
  </si>
  <si>
    <t>.additem "雑誌"</t>
  </si>
  <si>
    <t>.additem "漫画"</t>
  </si>
  <si>
    <t>.additem "教育"</t>
  </si>
  <si>
    <t>.additem "交通ICカード"</t>
  </si>
  <si>
    <t>.additem "電子マネー"</t>
  </si>
  <si>
    <t>.additem "クラウド課金"</t>
  </si>
  <si>
    <t>.additem "ゲーム課金"</t>
  </si>
  <si>
    <t>.additem "給与"</t>
  </si>
  <si>
    <t>.additem "償却業務"</t>
  </si>
  <si>
    <t>.additem "調整"</t>
  </si>
  <si>
    <t>.additem "機密"</t>
  </si>
  <si>
    <t>ElseIF combobox3.value = "</t>
    <phoneticPr fontId="1"/>
  </si>
  <si>
    <t>" then</t>
    <phoneticPr fontId="1"/>
  </si>
  <si>
    <t>Range("L" &amp; fm).Value = "</t>
  </si>
  <si>
    <t>列2</t>
  </si>
  <si>
    <t>列3</t>
  </si>
  <si>
    <t>列4</t>
  </si>
  <si>
    <t>列5</t>
  </si>
  <si>
    <t>列6</t>
  </si>
  <si>
    <t>ElseIF combobox3.value = "</t>
    <phoneticPr fontId="1"/>
  </si>
  <si>
    <t>ElseIF combobox3.value = "パン" then</t>
  </si>
  <si>
    <t>Range("L" &amp; fm).Value = "SP-01"</t>
  </si>
  <si>
    <t>ElseIF combobox3.value = "ご飯もの" then</t>
  </si>
  <si>
    <t>Range("L" &amp; fm).Value = "SR-01"</t>
  </si>
  <si>
    <t>ElseIF combobox3.value = "おかず" then</t>
  </si>
  <si>
    <t>Range("L" &amp; fm).Value = "SS-01"</t>
  </si>
  <si>
    <t>ElseIF combobox3.value = "飲料" then</t>
  </si>
  <si>
    <t>Range("L" &amp; fm).Value = "SD-01"</t>
  </si>
  <si>
    <t>ElseIF combobox3.value = "菓子類" then</t>
  </si>
  <si>
    <t>Range("L" &amp; fm).Value = "ST-01"</t>
  </si>
  <si>
    <t>ElseIF combobox3.value = "デスクトップパソコン" then</t>
  </si>
  <si>
    <t>Range("L" &amp; fm).Value = "MP-01"</t>
  </si>
  <si>
    <t>ElseIF combobox3.value = "ノートパソコン" then</t>
  </si>
  <si>
    <t>Range("L" &amp; fm).Value = "ML-01"</t>
  </si>
  <si>
    <t>ElseIF combobox3.value = "パソコンパーツ" then</t>
  </si>
  <si>
    <t>Range("L" &amp; fm).Value = "MP-02"</t>
  </si>
  <si>
    <t>ElseIF combobox3.value = "パソコン周辺機器" then</t>
  </si>
  <si>
    <t>Range("L" &amp; fm).Value = "MP-03"</t>
  </si>
  <si>
    <t>ElseIF combobox3.value = "スマートフォン本体" then</t>
  </si>
  <si>
    <t>Range("L" &amp; fm).Value = "MS-01"</t>
  </si>
  <si>
    <t>ElseIF combobox3.value = "タブレット本体" then</t>
  </si>
  <si>
    <t>Range("L" &amp; fm).Value = "MT-01"</t>
  </si>
  <si>
    <t>ElseIF combobox3.value = "携帯電話本体" then</t>
  </si>
  <si>
    <t>Range("L" &amp; fm).Value = "MM-01"</t>
  </si>
  <si>
    <t>ElseIF combobox3.value = "充電器" then</t>
  </si>
  <si>
    <t>Range("L" &amp; fm).Value = "MC-01"</t>
  </si>
  <si>
    <t>ElseIF combobox3.value = "カメラ" then</t>
  </si>
  <si>
    <t>Range("L" &amp; fm).Value = "MC-02"</t>
  </si>
  <si>
    <t>ElseIF combobox3.value = "家電" then</t>
  </si>
  <si>
    <t>Range("L" &amp; fm).Value = "ME-01"</t>
  </si>
  <si>
    <t>ElseIF combobox3.value = "オーディオ機器" then</t>
  </si>
  <si>
    <t>Range("L" &amp; fm).Value = "MA-01"</t>
  </si>
  <si>
    <t>ElseIF combobox3.value = "電気工具" then</t>
  </si>
  <si>
    <t>Range("L" &amp; fm).Value = "MH-01"</t>
  </si>
  <si>
    <t>ElseIF combobox3.value = "洋服" then</t>
  </si>
  <si>
    <t>Range("L" &amp; fm).Value = "DC-01"</t>
  </si>
  <si>
    <t>ElseIF combobox3.value = "靴" then</t>
  </si>
  <si>
    <t>Range("L" &amp; fm).Value = "DS-01"</t>
  </si>
  <si>
    <t>ElseIF combobox3.value = "時計" then</t>
  </si>
  <si>
    <t>Range("L" &amp; fm).Value = "DW-01"</t>
  </si>
  <si>
    <t>ElseIF combobox3.value = "アクセサリー" then</t>
  </si>
  <si>
    <t>Range("L" &amp; fm).Value = "DA-01"</t>
  </si>
  <si>
    <t>ElseIF combobox3.value = "食器" then</t>
  </si>
  <si>
    <t>ElseIF combobox3.value = "家具" then</t>
  </si>
  <si>
    <t>Range("L" &amp; fm).Value = "SF-01"</t>
  </si>
  <si>
    <t>ElseIF combobox3.value = "寝具" then</t>
  </si>
  <si>
    <t>Range("L" &amp; fm).Value = "SB-01"</t>
  </si>
  <si>
    <t>ElseIF combobox3.value = "小物" then</t>
  </si>
  <si>
    <t>ElseIF combobox3.value = "筆記具" then</t>
  </si>
  <si>
    <t>Range("L" &amp; fm).Value = "OS-01"</t>
  </si>
  <si>
    <t>ElseIF combobox3.value = "ノート" then</t>
  </si>
  <si>
    <t>Range("L" &amp; fm).Value = "ON-01"</t>
  </si>
  <si>
    <t>ElseIF combobox3.value = "ルーズリーフ" then</t>
  </si>
  <si>
    <t>Range("L" &amp; fm).Value = "OR-01"</t>
  </si>
  <si>
    <t>ElseIF combobox3.value = "工具" then</t>
  </si>
  <si>
    <t>Range("L" &amp; fm).Value = "OM-01"</t>
  </si>
  <si>
    <t>ElseIF combobox3.value = "小説" then</t>
  </si>
  <si>
    <t>Range("L" &amp; fm).Value = "BN-01"</t>
  </si>
  <si>
    <t>ElseIF combobox3.value = "新書" then</t>
  </si>
  <si>
    <t>Range("L" &amp; fm).Value = "BN-02"</t>
  </si>
  <si>
    <t>ElseIF combobox3.value = "雑誌" then</t>
  </si>
  <si>
    <t>Range("L" &amp; fm).Value = "BM-01"</t>
  </si>
  <si>
    <t>ElseIF combobox3.value = "漫画" then</t>
  </si>
  <si>
    <t>Range("L" &amp; fm).Value = "BC-01"</t>
  </si>
  <si>
    <t>ElseIF combobox3.value = "教育" then</t>
  </si>
  <si>
    <t>Range("L" &amp; fm).Value = "BE-01"</t>
  </si>
  <si>
    <t>ElseIF combobox3.value = "交通ICカード" then</t>
  </si>
  <si>
    <t>Range("L" &amp; fm).Value = "CI-01"</t>
  </si>
  <si>
    <t>ElseIF combobox3.value = "電子マネー" then</t>
  </si>
  <si>
    <t>Range("L" &amp; fm).Value = "CC-01"</t>
  </si>
  <si>
    <t>ElseIF combobox3.value = "クラウド課金" then</t>
  </si>
  <si>
    <t>Range("L" &amp; fm).Value = "CC-02"</t>
  </si>
  <si>
    <t>ElseIF combobox3.value = "ゲーム課金" then</t>
  </si>
  <si>
    <t>Range("L" &amp; fm).Value = "CG-01"</t>
  </si>
  <si>
    <t>ElseIF combobox3.value = "給与" then</t>
  </si>
  <si>
    <t>Range("L" &amp; fm).Value = "IS-01"</t>
  </si>
  <si>
    <t>ElseIF combobox3.value = "償却業務" then</t>
  </si>
  <si>
    <t>Range("L" &amp; fm).Value = "IB-01"</t>
  </si>
  <si>
    <t>ElseIF combobox3.value = "調整" then</t>
  </si>
  <si>
    <t>Range("L" &amp; fm).Value = "AA-01"</t>
  </si>
  <si>
    <t>ElseIF combobox3.value = "機密" then</t>
  </si>
  <si>
    <t>Range("L" &amp; fm).Value = "AS-01"</t>
  </si>
  <si>
    <t>ElseIF combobox3.value = "その他" then</t>
  </si>
  <si>
    <t>Range("L" &amp; fm).Value = "AO-01"</t>
  </si>
  <si>
    <t>財産記録</t>
    <rPh sb="0" eb="2">
      <t>ザイサン</t>
    </rPh>
    <rPh sb="2" eb="4">
      <t>キロク</t>
    </rPh>
    <phoneticPr fontId="1"/>
  </si>
  <si>
    <t>基金の部</t>
    <rPh sb="0" eb="2">
      <t>キキン</t>
    </rPh>
    <rPh sb="3" eb="4">
      <t>ブ</t>
    </rPh>
    <phoneticPr fontId="1"/>
  </si>
  <si>
    <t>収入の部</t>
    <rPh sb="0" eb="2">
      <t>シュウニュウ</t>
    </rPh>
    <rPh sb="3" eb="4">
      <t>ブ</t>
    </rPh>
    <phoneticPr fontId="1"/>
  </si>
  <si>
    <t>バージョン管理</t>
    <rPh sb="5" eb="7">
      <t>カンリ</t>
    </rPh>
    <phoneticPr fontId="1"/>
  </si>
  <si>
    <t>バージョン</t>
    <phoneticPr fontId="1"/>
  </si>
  <si>
    <t>更新日時</t>
    <rPh sb="0" eb="2">
      <t>コウシン</t>
    </rPh>
    <rPh sb="2" eb="4">
      <t>ニチジ</t>
    </rPh>
    <phoneticPr fontId="1"/>
  </si>
  <si>
    <t>内容</t>
    <rPh sb="0" eb="2">
      <t>ナイヨウ</t>
    </rPh>
    <phoneticPr fontId="1"/>
  </si>
  <si>
    <t>v1.00</t>
    <phoneticPr fontId="1"/>
  </si>
  <si>
    <t>作成</t>
    <rPh sb="0" eb="2">
      <t>サクセイ</t>
    </rPh>
    <phoneticPr fontId="1"/>
  </si>
  <si>
    <t>設立日</t>
    <rPh sb="0" eb="2">
      <t>セツリツ</t>
    </rPh>
    <rPh sb="2" eb="3">
      <t>ビ</t>
    </rPh>
    <phoneticPr fontId="1"/>
  </si>
  <si>
    <t>科目を増設</t>
    <rPh sb="0" eb="2">
      <t>カモク</t>
    </rPh>
    <rPh sb="3" eb="5">
      <t>ゾウセツ</t>
    </rPh>
    <phoneticPr fontId="1"/>
  </si>
  <si>
    <t>v1.22</t>
    <phoneticPr fontId="1"/>
  </si>
  <si>
    <t>v1.20</t>
    <phoneticPr fontId="1"/>
  </si>
  <si>
    <t>登録業務をマクロ化</t>
    <rPh sb="0" eb="2">
      <t>トウロク</t>
    </rPh>
    <rPh sb="2" eb="4">
      <t>ギョウム</t>
    </rPh>
    <rPh sb="8" eb="9">
      <t>カ</t>
    </rPh>
    <phoneticPr fontId="1"/>
  </si>
  <si>
    <t>融資</t>
    <rPh sb="0" eb="2">
      <t>ユウシ</t>
    </rPh>
    <phoneticPr fontId="1"/>
  </si>
  <si>
    <t>AL-01</t>
    <phoneticPr fontId="1"/>
  </si>
  <si>
    <t>　</t>
    <phoneticPr fontId="1"/>
  </si>
  <si>
    <t>食品</t>
  </si>
  <si>
    <t>日用品</t>
  </si>
  <si>
    <t>雑貨</t>
  </si>
  <si>
    <t>文房具・事務用品</t>
  </si>
  <si>
    <t>書籍</t>
  </si>
  <si>
    <t>チャージ</t>
  </si>
  <si>
    <t>収入</t>
  </si>
  <si>
    <t>v1.31</t>
    <phoneticPr fontId="1"/>
  </si>
  <si>
    <t>v1.31</t>
    <phoneticPr fontId="1"/>
  </si>
  <si>
    <t>セルの再計算が行われない問題を修正</t>
    <rPh sb="3" eb="6">
      <t>サイケイサン</t>
    </rPh>
    <rPh sb="7" eb="8">
      <t>オコナ</t>
    </rPh>
    <rPh sb="12" eb="14">
      <t>モンダイ</t>
    </rPh>
    <rPh sb="15" eb="17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</si>
</sst>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¥&quot;#,##0_);[Red]\(&quot;¥&quot;#,##0\)"/>
    <numFmt numFmtId="177" formatCode="&quot;¥&quot;#,##0.00_);\(&quot;¥&quot;#,##0.00\)"/>
  </numFmts>
  <fonts count="8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36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26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38" fontId="3" fillId="0" borderId="0" applyFont="0" applyFill="0" applyBorder="0" applyAlignment="0" applyProtection="0"/>
    <xf numFmtId="176" fontId="5" fillId="0" borderId="0" applyFont="0" applyFill="0" applyBorder="0" applyAlignment="0" applyProtection="0">
      <alignment vertical="center"/>
    </xf>
  </cellStyleXfs>
  <cellXfs count="5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/>
    <xf numFmtId="0" fontId="0" fillId="0" borderId="0" xfId="0" applyAlignment="1"/>
    <xf numFmtId="0" fontId="0" fillId="0" borderId="1" xfId="0" applyBorder="1"/>
    <xf numFmtId="0" fontId="0" fillId="0" borderId="1" xfId="0" applyBorder="1" applyAlignment="1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/>
    <xf numFmtId="14" fontId="0" fillId="0" borderId="0" xfId="0" applyNumberFormat="1"/>
    <xf numFmtId="0" fontId="0" fillId="0" borderId="0" xfId="0" applyFill="1" applyBorder="1"/>
    <xf numFmtId="0" fontId="0" fillId="0" borderId="0" xfId="0"/>
    <xf numFmtId="3" fontId="0" fillId="0" borderId="0" xfId="0" applyNumberFormat="1"/>
    <xf numFmtId="0" fontId="0" fillId="0" borderId="0" xfId="0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/>
    <xf numFmtId="0" fontId="0" fillId="0" borderId="4" xfId="0" applyBorder="1"/>
    <xf numFmtId="0" fontId="0" fillId="0" borderId="4" xfId="0" applyBorder="1" applyAlignment="1">
      <alignment horizontal="right"/>
    </xf>
    <xf numFmtId="49" fontId="0" fillId="0" borderId="0" xfId="0" applyNumberFormat="1"/>
    <xf numFmtId="0" fontId="0" fillId="0" borderId="0" xfId="0"/>
    <xf numFmtId="0" fontId="4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176" fontId="0" fillId="0" borderId="0" xfId="3" applyFont="1" applyAlignment="1"/>
    <xf numFmtId="176" fontId="0" fillId="0" borderId="0" xfId="3" applyFont="1" applyFill="1" applyBorder="1" applyAlignment="1"/>
    <xf numFmtId="176" fontId="0" fillId="0" borderId="4" xfId="3" applyFont="1" applyBorder="1" applyAlignment="1"/>
    <xf numFmtId="176" fontId="0" fillId="0" borderId="1" xfId="3" applyFont="1" applyBorder="1" applyAlignment="1"/>
    <xf numFmtId="0" fontId="0" fillId="0" borderId="0" xfId="0"/>
    <xf numFmtId="177" fontId="0" fillId="0" borderId="0" xfId="0" applyNumberFormat="1"/>
    <xf numFmtId="176" fontId="0" fillId="0" borderId="3" xfId="3" applyFont="1" applyBorder="1" applyAlignment="1"/>
    <xf numFmtId="14" fontId="0" fillId="0" borderId="1" xfId="0" applyNumberFormat="1" applyBorder="1" applyAlignment="1">
      <alignment vertical="center"/>
    </xf>
    <xf numFmtId="14" fontId="0" fillId="0" borderId="1" xfId="0" applyNumberFormat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2" xfId="0" applyBorder="1" applyAlignment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1" xfId="0" applyFill="1" applyBorder="1"/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/>
    <xf numFmtId="0" fontId="6" fillId="0" borderId="0" xfId="0" applyFont="1" applyAlignment="1">
      <alignment horizontal="left" vertical="center"/>
    </xf>
  </cellXfs>
  <cellStyles count="4">
    <cellStyle name="桁区切り 2" xfId="2"/>
    <cellStyle name="通貨" xfId="3" builtinId="7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検索!$U$4</c:f>
              <c:strCache>
                <c:ptCount val="1"/>
                <c:pt idx="0">
                  <c:v>普通残高</c:v>
                </c:pt>
              </c:strCache>
            </c:strRef>
          </c:tx>
          <c:marker>
            <c:symbol val="none"/>
          </c:marker>
          <c:val>
            <c:numRef>
              <c:f>[0]!検索＿残高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416143584"/>
        <c:axId val="-1416134336"/>
      </c:lineChart>
      <c:catAx>
        <c:axId val="-1416143584"/>
        <c:scaling>
          <c:orientation val="minMax"/>
        </c:scaling>
        <c:delete val="0"/>
        <c:axPos val="b"/>
        <c:majorTickMark val="out"/>
        <c:minorTickMark val="none"/>
        <c:tickLblPos val="nextTo"/>
        <c:crossAx val="-1416134336"/>
        <c:crosses val="autoZero"/>
        <c:auto val="1"/>
        <c:lblAlgn val="ctr"/>
        <c:lblOffset val="100"/>
        <c:noMultiLvlLbl val="0"/>
      </c:catAx>
      <c:valAx>
        <c:axId val="-141613433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-1416143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b="1"/>
              <a:t>支出割合</a:t>
            </a:r>
            <a:endParaRPr lang="en-US" altLang="ja-JP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(検索!$Z$4:$Z$10,検索!$Z$12)</c:f>
              <c:strCache>
                <c:ptCount val="8"/>
                <c:pt idx="0">
                  <c:v>食品</c:v>
                </c:pt>
                <c:pt idx="1">
                  <c:v>機械類</c:v>
                </c:pt>
                <c:pt idx="2">
                  <c:v>日用品</c:v>
                </c:pt>
                <c:pt idx="3">
                  <c:v>雑貨</c:v>
                </c:pt>
                <c:pt idx="4">
                  <c:v>文房具・事務用品</c:v>
                </c:pt>
                <c:pt idx="5">
                  <c:v>書籍</c:v>
                </c:pt>
                <c:pt idx="6">
                  <c:v>チャージ</c:v>
                </c:pt>
                <c:pt idx="7">
                  <c:v>その他</c:v>
                </c:pt>
              </c:strCache>
            </c:strRef>
          </c:cat>
          <c:val>
            <c:numRef>
              <c:f>(検索!$AA$4:$AA$10,検索!$AA$12)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3</xdr:row>
      <xdr:rowOff>4762</xdr:rowOff>
    </xdr:from>
    <xdr:to>
      <xdr:col>19</xdr:col>
      <xdr:colOff>657225</xdr:colOff>
      <xdr:row>17</xdr:row>
      <xdr:rowOff>133350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152400</xdr:rowOff>
        </xdr:from>
        <xdr:to>
          <xdr:col>7</xdr:col>
          <xdr:colOff>19050</xdr:colOff>
          <xdr:row>5</xdr:row>
          <xdr:rowOff>28575</xdr:rowOff>
        </xdr:to>
        <xdr:sp macro="" textlink="">
          <xdr:nvSpPr>
            <xdr:cNvPr id="1038" name="ComboBox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133350</xdr:rowOff>
        </xdr:from>
        <xdr:to>
          <xdr:col>7</xdr:col>
          <xdr:colOff>0</xdr:colOff>
          <xdr:row>9</xdr:row>
          <xdr:rowOff>38100</xdr:rowOff>
        </xdr:to>
        <xdr:sp macro="" textlink="">
          <xdr:nvSpPr>
            <xdr:cNvPr id="1040" name="ComboBox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7</xdr:row>
          <xdr:rowOff>152400</xdr:rowOff>
        </xdr:from>
        <xdr:to>
          <xdr:col>10</xdr:col>
          <xdr:colOff>9525</xdr:colOff>
          <xdr:row>9</xdr:row>
          <xdr:rowOff>28575</xdr:rowOff>
        </xdr:to>
        <xdr:sp macro="" textlink="">
          <xdr:nvSpPr>
            <xdr:cNvPr id="1041" name="ComboBox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11</xdr:row>
          <xdr:rowOff>85725</xdr:rowOff>
        </xdr:from>
        <xdr:to>
          <xdr:col>11</xdr:col>
          <xdr:colOff>76200</xdr:colOff>
          <xdr:row>13</xdr:row>
          <xdr:rowOff>19050</xdr:rowOff>
        </xdr:to>
        <xdr:sp macro="" textlink="">
          <xdr:nvSpPr>
            <xdr:cNvPr id="1042" name="CommandButton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11</xdr:row>
          <xdr:rowOff>85725</xdr:rowOff>
        </xdr:from>
        <xdr:to>
          <xdr:col>12</xdr:col>
          <xdr:colOff>390525</xdr:colOff>
          <xdr:row>13</xdr:row>
          <xdr:rowOff>9525</xdr:rowOff>
        </xdr:to>
        <xdr:sp macro="" textlink="">
          <xdr:nvSpPr>
            <xdr:cNvPr id="1043" name="CommandButton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9525</xdr:colOff>
      <xdr:row>18</xdr:row>
      <xdr:rowOff>97154</xdr:rowOff>
    </xdr:from>
    <xdr:to>
      <xdr:col>20</xdr:col>
      <xdr:colOff>352425</xdr:colOff>
      <xdr:row>34</xdr:row>
      <xdr:rowOff>28574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4</xdr:row>
          <xdr:rowOff>152400</xdr:rowOff>
        </xdr:from>
        <xdr:to>
          <xdr:col>1</xdr:col>
          <xdr:colOff>400050</xdr:colOff>
          <xdr:row>6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新規登録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V25:AA111" totalsRowShown="0">
  <autoFilter ref="V25:AA111"/>
  <sortState ref="V26:AA111">
    <sortCondition ref="V25:V111"/>
  </sortState>
  <tableColumns count="6">
    <tableColumn id="1" name="列1"/>
    <tableColumn id="2" name="列2"/>
    <tableColumn id="3" name="列3"/>
    <tableColumn id="4" name="列4"/>
    <tableColumn id="5" name="列5"/>
    <tableColumn id="6" name="列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659"/>
  <sheetViews>
    <sheetView tabSelected="1" zoomScaleNormal="100" workbookViewId="0">
      <selection activeCell="E26" sqref="E26"/>
    </sheetView>
  </sheetViews>
  <sheetFormatPr defaultRowHeight="13.5"/>
  <cols>
    <col min="5" max="5" width="10.5" bestFit="1" customWidth="1"/>
    <col min="6" max="6" width="8.875" customWidth="1"/>
    <col min="7" max="7" width="9.25" customWidth="1"/>
    <col min="8" max="8" width="8.75" customWidth="1"/>
    <col min="10" max="10" width="9" style="31"/>
    <col min="23" max="23" width="9" customWidth="1"/>
  </cols>
  <sheetData>
    <row r="1" spans="1:30" ht="13.5" customHeight="1">
      <c r="A1" s="51" t="s">
        <v>0</v>
      </c>
      <c r="B1" s="51"/>
      <c r="C1" s="51"/>
      <c r="D1" s="1"/>
      <c r="E1" s="1"/>
    </row>
    <row r="2" spans="1:30" ht="13.5" customHeight="1">
      <c r="A2" s="51"/>
      <c r="B2" s="51"/>
      <c r="C2" s="51"/>
      <c r="D2" s="1"/>
      <c r="E2" s="1"/>
      <c r="AB2" s="24"/>
      <c r="AC2" s="24"/>
      <c r="AD2" s="24"/>
    </row>
    <row r="3" spans="1:30" ht="13.5" customHeight="1">
      <c r="A3" s="51"/>
      <c r="B3" s="51"/>
      <c r="C3" s="51"/>
      <c r="D3" s="1"/>
      <c r="E3" s="1"/>
      <c r="AB3" s="24"/>
      <c r="AC3" s="24"/>
      <c r="AD3" s="24"/>
    </row>
    <row r="4" spans="1:30" ht="13.5" customHeight="1">
      <c r="A4" s="6"/>
      <c r="B4" s="6"/>
      <c r="C4" s="6"/>
      <c r="D4" s="1"/>
      <c r="E4" s="1"/>
      <c r="K4" s="28"/>
      <c r="U4" s="4" t="s">
        <v>98</v>
      </c>
      <c r="W4" s="4" t="str">
        <f>財産管理!Q16</f>
        <v>パン</v>
      </c>
      <c r="X4" s="4" t="str">
        <f>財産管理!S16</f>
        <v/>
      </c>
      <c r="Z4" s="4" t="s">
        <v>411</v>
      </c>
      <c r="AA4" s="4">
        <f>SUM(X4:X9)</f>
        <v>0</v>
      </c>
      <c r="AB4" s="24"/>
      <c r="AC4" s="24"/>
      <c r="AD4" s="24"/>
    </row>
    <row r="5" spans="1:30" ht="13.5" customHeight="1">
      <c r="A5" s="6"/>
      <c r="B5" s="25" t="s">
        <v>142</v>
      </c>
      <c r="C5" s="6"/>
      <c r="D5" s="1"/>
      <c r="E5" s="1" t="s">
        <v>146</v>
      </c>
      <c r="F5" s="29"/>
      <c r="G5" s="30"/>
      <c r="H5" t="s">
        <v>147</v>
      </c>
      <c r="I5" s="4">
        <v>6</v>
      </c>
      <c r="U5" s="15">
        <f>財産管理!K7</f>
        <v>0</v>
      </c>
      <c r="W5" s="4" t="str">
        <f>財産管理!Q17</f>
        <v>ご飯もの</v>
      </c>
      <c r="X5" s="4" t="str">
        <f>財産管理!S17</f>
        <v/>
      </c>
      <c r="Z5" s="4" t="s">
        <v>35</v>
      </c>
      <c r="AA5" s="4">
        <f>SUM(X10:X22)</f>
        <v>0</v>
      </c>
      <c r="AB5" s="24"/>
      <c r="AC5" s="24"/>
      <c r="AD5" s="24"/>
    </row>
    <row r="6" spans="1:30">
      <c r="A6" s="1"/>
      <c r="B6" s="1"/>
      <c r="C6" s="1"/>
      <c r="D6" s="1"/>
      <c r="E6" s="1"/>
      <c r="U6" s="19" t="str">
        <f>財産管理!K8</f>
        <v/>
      </c>
      <c r="W6" s="4" t="str">
        <f>財産管理!Q18</f>
        <v>おかず</v>
      </c>
      <c r="X6" s="4" t="str">
        <f>財産管理!S18</f>
        <v/>
      </c>
      <c r="Z6" s="4" t="s">
        <v>412</v>
      </c>
      <c r="AA6" s="4">
        <f>SUM(X23:X27)</f>
        <v>0</v>
      </c>
      <c r="AB6" s="24"/>
      <c r="AC6" s="24"/>
      <c r="AD6" s="24"/>
    </row>
    <row r="7" spans="1:30">
      <c r="A7" s="1"/>
      <c r="B7" s="1" t="s">
        <v>143</v>
      </c>
      <c r="C7" s="1"/>
      <c r="D7" s="1"/>
      <c r="E7" s="38"/>
      <c r="F7" t="s">
        <v>148</v>
      </c>
      <c r="G7" s="39"/>
      <c r="I7" t="s">
        <v>153</v>
      </c>
      <c r="U7" s="19" t="str">
        <f>財産管理!K9</f>
        <v/>
      </c>
      <c r="W7" s="4" t="str">
        <f>財産管理!Q19</f>
        <v>飲料</v>
      </c>
      <c r="X7" s="4" t="str">
        <f>財産管理!S19</f>
        <v/>
      </c>
      <c r="Z7" s="4" t="s">
        <v>413</v>
      </c>
      <c r="AA7" s="4">
        <f>SUM(X28:X32)</f>
        <v>0</v>
      </c>
      <c r="AB7" s="24"/>
      <c r="AC7" s="24"/>
      <c r="AD7" s="24"/>
    </row>
    <row r="8" spans="1:30">
      <c r="E8" s="1"/>
      <c r="U8" s="19" t="str">
        <f>財産管理!K10</f>
        <v/>
      </c>
      <c r="W8" s="4" t="str">
        <f>財産管理!Q20</f>
        <v>菓子類</v>
      </c>
      <c r="X8" s="4" t="str">
        <f>財産管理!S20</f>
        <v/>
      </c>
      <c r="Z8" s="4" t="s">
        <v>414</v>
      </c>
      <c r="AA8" s="4">
        <f>SUM(X33:X37)</f>
        <v>0</v>
      </c>
      <c r="AB8" s="24"/>
      <c r="AC8" s="24"/>
      <c r="AD8" s="24"/>
    </row>
    <row r="9" spans="1:30">
      <c r="B9" t="s">
        <v>144</v>
      </c>
      <c r="E9" s="1" t="s">
        <v>149</v>
      </c>
      <c r="F9" s="29"/>
      <c r="G9" s="30"/>
      <c r="H9" t="s">
        <v>150</v>
      </c>
      <c r="I9" s="29"/>
      <c r="J9" s="37"/>
      <c r="U9" s="19" t="str">
        <f>財産管理!K11</f>
        <v/>
      </c>
      <c r="W9" s="4" t="str">
        <f>財産管理!Q21</f>
        <v>その他</v>
      </c>
      <c r="X9" s="4" t="str">
        <f>財産管理!S21</f>
        <v/>
      </c>
      <c r="Z9" s="4" t="s">
        <v>415</v>
      </c>
      <c r="AA9" s="4">
        <f>SUM(X38:X43)</f>
        <v>0</v>
      </c>
      <c r="AB9" s="24"/>
      <c r="AC9" s="24"/>
      <c r="AD9" s="24"/>
    </row>
    <row r="10" spans="1:30">
      <c r="E10" s="1"/>
      <c r="U10" s="19" t="str">
        <f>財産管理!K12</f>
        <v/>
      </c>
      <c r="W10" s="4" t="str">
        <f>財産管理!Q22</f>
        <v>デスクトップパソコン</v>
      </c>
      <c r="X10" s="4" t="str">
        <f>財産管理!S22</f>
        <v/>
      </c>
      <c r="Z10" s="4" t="s">
        <v>416</v>
      </c>
      <c r="AA10" s="4">
        <f>SUM(X44:X48)</f>
        <v>0</v>
      </c>
      <c r="AB10" s="24"/>
      <c r="AC10" s="24"/>
      <c r="AD10" s="24"/>
    </row>
    <row r="11" spans="1:30">
      <c r="B11" t="s">
        <v>145</v>
      </c>
      <c r="E11" s="26"/>
      <c r="F11" t="s">
        <v>151</v>
      </c>
      <c r="G11" s="4"/>
      <c r="H11" t="s">
        <v>151</v>
      </c>
      <c r="I11" s="4"/>
      <c r="U11" s="19" t="str">
        <f>財産管理!K13</f>
        <v/>
      </c>
      <c r="W11" s="4" t="str">
        <f>財産管理!Q23</f>
        <v>ノートパソコン</v>
      </c>
      <c r="X11" s="4" t="str">
        <f>財産管理!S23</f>
        <v/>
      </c>
      <c r="Z11" s="4" t="s">
        <v>417</v>
      </c>
      <c r="AA11" s="4">
        <f>SUM(X49:X51)</f>
        <v>0</v>
      </c>
      <c r="AB11" s="24"/>
      <c r="AC11" s="24"/>
      <c r="AD11" s="24"/>
    </row>
    <row r="12" spans="1:30">
      <c r="D12" t="s">
        <v>152</v>
      </c>
      <c r="E12" s="26"/>
      <c r="F12" t="s">
        <v>151</v>
      </c>
      <c r="G12" s="4"/>
      <c r="H12" t="s">
        <v>151</v>
      </c>
      <c r="I12" s="4"/>
      <c r="U12" s="19" t="str">
        <f>財産管理!K14</f>
        <v/>
      </c>
      <c r="W12" s="4" t="str">
        <f>財産管理!Q24</f>
        <v>パソコンパーツ</v>
      </c>
      <c r="X12" s="4" t="str">
        <f>財産管理!S24</f>
        <v/>
      </c>
      <c r="Z12" s="4" t="s">
        <v>167</v>
      </c>
      <c r="AA12" s="4">
        <f>SUM(X52:X54)</f>
        <v>0</v>
      </c>
      <c r="AB12" s="24"/>
      <c r="AC12" s="24"/>
      <c r="AD12" s="24"/>
    </row>
    <row r="13" spans="1:30">
      <c r="D13" t="s">
        <v>152</v>
      </c>
      <c r="E13" s="26"/>
      <c r="F13" t="s">
        <v>151</v>
      </c>
      <c r="G13" s="4"/>
      <c r="H13" t="s">
        <v>151</v>
      </c>
      <c r="I13" s="4"/>
      <c r="U13" s="19" t="str">
        <f>財産管理!K15</f>
        <v/>
      </c>
      <c r="W13" s="4" t="str">
        <f>財産管理!Q25</f>
        <v>パソコン周辺機器</v>
      </c>
      <c r="X13" s="4" t="str">
        <f>財産管理!S25</f>
        <v/>
      </c>
      <c r="AB13" s="24"/>
      <c r="AC13" s="24"/>
      <c r="AD13" s="24"/>
    </row>
    <row r="14" spans="1:30">
      <c r="U14" s="19" t="str">
        <f>財産管理!K16</f>
        <v/>
      </c>
      <c r="W14" s="4" t="str">
        <f>財産管理!Q26</f>
        <v>スマートフォン本体</v>
      </c>
      <c r="X14" s="4" t="str">
        <f>財産管理!S26</f>
        <v/>
      </c>
      <c r="AB14" s="24"/>
      <c r="AC14" s="24"/>
      <c r="AD14" s="24"/>
    </row>
    <row r="15" spans="1:30">
      <c r="B15" s="24"/>
      <c r="C15" s="24"/>
      <c r="D15" s="24"/>
      <c r="E15" s="24"/>
      <c r="F15" s="24"/>
      <c r="G15" s="24"/>
      <c r="H15" s="24"/>
      <c r="I15" s="24"/>
      <c r="K15" s="24"/>
      <c r="L15" s="24"/>
      <c r="M15" s="24"/>
      <c r="U15" s="19" t="str">
        <f>財産管理!K17</f>
        <v/>
      </c>
      <c r="W15" s="4" t="str">
        <f>財産管理!Q27</f>
        <v>タブレット本体</v>
      </c>
      <c r="X15" s="4" t="str">
        <f>財産管理!S27</f>
        <v/>
      </c>
      <c r="AB15" s="24"/>
      <c r="AC15" s="24"/>
      <c r="AD15" s="24"/>
    </row>
    <row r="16" spans="1:30">
      <c r="B16" s="24"/>
      <c r="C16" s="24"/>
      <c r="D16" s="24"/>
      <c r="E16" s="24"/>
      <c r="F16" s="24"/>
      <c r="G16" s="7"/>
      <c r="H16" s="24"/>
      <c r="I16" s="24"/>
      <c r="K16" s="52" t="s">
        <v>4</v>
      </c>
      <c r="L16" s="53"/>
      <c r="M16" s="24"/>
      <c r="U16" s="19" t="str">
        <f>財産管理!K18</f>
        <v/>
      </c>
      <c r="W16" s="4" t="str">
        <f>財産管理!Q28</f>
        <v>携帯電話本体</v>
      </c>
      <c r="X16" s="4" t="str">
        <f>財産管理!S28</f>
        <v/>
      </c>
      <c r="AB16" s="24"/>
      <c r="AC16" s="24"/>
      <c r="AD16" s="24"/>
    </row>
    <row r="17" spans="2:30">
      <c r="B17" s="4" t="s">
        <v>11</v>
      </c>
      <c r="C17" s="4" t="s">
        <v>24</v>
      </c>
      <c r="D17" s="4" t="s">
        <v>1</v>
      </c>
      <c r="E17" s="4" t="s">
        <v>2</v>
      </c>
      <c r="F17" s="4" t="s">
        <v>13</v>
      </c>
      <c r="G17" s="8" t="s">
        <v>12</v>
      </c>
      <c r="H17" s="4" t="s">
        <v>8</v>
      </c>
      <c r="I17" s="4" t="s">
        <v>9</v>
      </c>
      <c r="J17" s="34" t="s">
        <v>10</v>
      </c>
      <c r="K17" s="5" t="s">
        <v>6</v>
      </c>
      <c r="L17" s="5" t="s">
        <v>5</v>
      </c>
      <c r="M17" s="4" t="s">
        <v>7</v>
      </c>
      <c r="U17" s="19" t="str">
        <f>財産管理!K19</f>
        <v/>
      </c>
      <c r="W17" s="4" t="str">
        <f>財産管理!Q29</f>
        <v>充電器</v>
      </c>
      <c r="X17" s="4" t="str">
        <f>財産管理!S29</f>
        <v/>
      </c>
      <c r="AB17" s="24"/>
      <c r="AC17" s="24"/>
      <c r="AD17" s="24"/>
    </row>
    <row r="18" spans="2:30">
      <c r="B18" s="24"/>
      <c r="C18" s="27"/>
      <c r="D18" s="27"/>
      <c r="E18" s="27"/>
      <c r="F18" s="27"/>
      <c r="G18" s="27"/>
      <c r="H18" s="36"/>
      <c r="I18" s="27"/>
      <c r="K18" s="27"/>
      <c r="L18" s="27"/>
      <c r="M18" s="27"/>
      <c r="U18" s="19" t="str">
        <f>財産管理!K20</f>
        <v/>
      </c>
      <c r="W18" s="4" t="str">
        <f>財産管理!Q30</f>
        <v>カメラ</v>
      </c>
      <c r="X18" s="4" t="str">
        <f>財産管理!S30</f>
        <v/>
      </c>
      <c r="AB18" s="24"/>
      <c r="AC18" s="24"/>
      <c r="AD18" s="24"/>
    </row>
    <row r="19" spans="2:30">
      <c r="B19" s="27"/>
      <c r="S19" s="19"/>
      <c r="T19" s="23"/>
      <c r="U19" s="15" t="str">
        <f>財産管理!K21</f>
        <v/>
      </c>
      <c r="W19" s="4" t="str">
        <f>財産管理!Q31</f>
        <v>家電</v>
      </c>
      <c r="X19" s="4" t="str">
        <f>財産管理!S31</f>
        <v/>
      </c>
      <c r="AC19" s="24"/>
      <c r="AD19" s="24"/>
    </row>
    <row r="20" spans="2:30">
      <c r="B20" s="27"/>
      <c r="S20" s="19"/>
      <c r="T20" s="23"/>
      <c r="U20" s="27" t="str">
        <f>財産管理!K22</f>
        <v/>
      </c>
      <c r="W20" s="4" t="str">
        <f>財産管理!Q32</f>
        <v>オーディオ機器</v>
      </c>
      <c r="X20" s="4" t="str">
        <f>財産管理!S32</f>
        <v/>
      </c>
      <c r="AC20" s="24"/>
      <c r="AD20" s="24"/>
    </row>
    <row r="21" spans="2:30">
      <c r="B21" s="27"/>
      <c r="S21" s="19"/>
      <c r="T21" s="23"/>
      <c r="U21" s="27" t="str">
        <f>財産管理!K23</f>
        <v/>
      </c>
      <c r="W21" s="4" t="str">
        <f>財産管理!Q33</f>
        <v>電気工具</v>
      </c>
      <c r="X21" s="4" t="str">
        <f>財産管理!S33</f>
        <v/>
      </c>
      <c r="AB21" s="24"/>
      <c r="AC21" s="24"/>
      <c r="AD21" s="24"/>
    </row>
    <row r="22" spans="2:30">
      <c r="B22" s="27"/>
      <c r="S22" s="19"/>
      <c r="T22" s="23"/>
      <c r="U22" s="27" t="str">
        <f>財産管理!K24</f>
        <v/>
      </c>
      <c r="W22" s="4" t="str">
        <f>財産管理!Q34</f>
        <v>その他</v>
      </c>
      <c r="X22" s="4" t="str">
        <f>財産管理!S34</f>
        <v/>
      </c>
      <c r="AB22" s="24"/>
      <c r="AC22" s="24"/>
      <c r="AD22" s="24"/>
    </row>
    <row r="23" spans="2:30">
      <c r="B23" s="27"/>
      <c r="S23" s="19"/>
      <c r="T23" s="23"/>
      <c r="U23" s="27" t="str">
        <f>財産管理!K25</f>
        <v/>
      </c>
      <c r="W23" s="4" t="str">
        <f>財産管理!Q35</f>
        <v>洋服</v>
      </c>
      <c r="X23" s="4" t="str">
        <f>財産管理!S35</f>
        <v/>
      </c>
      <c r="AB23" s="24"/>
      <c r="AC23" s="24"/>
      <c r="AD23" s="24"/>
    </row>
    <row r="24" spans="2:30">
      <c r="B24" s="27"/>
      <c r="S24" s="19"/>
      <c r="T24" s="23"/>
      <c r="U24" s="27" t="str">
        <f>財産管理!K26</f>
        <v/>
      </c>
      <c r="W24" s="4" t="str">
        <f>財産管理!Q36</f>
        <v>靴</v>
      </c>
      <c r="X24" s="4" t="str">
        <f>財産管理!S36</f>
        <v/>
      </c>
      <c r="AC24" s="24"/>
      <c r="AD24" s="24"/>
    </row>
    <row r="25" spans="2:30">
      <c r="B25" s="27"/>
      <c r="S25" s="19"/>
      <c r="T25" s="23"/>
      <c r="U25" s="27" t="str">
        <f>財産管理!K27</f>
        <v/>
      </c>
      <c r="W25" s="4" t="str">
        <f>財産管理!Q37</f>
        <v>時計</v>
      </c>
      <c r="X25" s="4" t="str">
        <f>財産管理!S37</f>
        <v/>
      </c>
      <c r="AB25" s="24"/>
      <c r="AC25" s="24"/>
      <c r="AD25" s="24"/>
    </row>
    <row r="26" spans="2:30">
      <c r="B26" s="27"/>
      <c r="S26" s="19"/>
      <c r="T26" s="23"/>
      <c r="U26" s="27" t="str">
        <f>財産管理!K28</f>
        <v/>
      </c>
      <c r="W26" s="4" t="str">
        <f>財産管理!Q38</f>
        <v>アクセサリー</v>
      </c>
      <c r="X26" s="4" t="str">
        <f>財産管理!S38</f>
        <v/>
      </c>
      <c r="AB26" s="24"/>
      <c r="AC26" s="24"/>
      <c r="AD26" s="24"/>
    </row>
    <row r="27" spans="2:30">
      <c r="B27" s="27"/>
      <c r="S27" s="19"/>
      <c r="T27" s="23"/>
      <c r="U27" s="27" t="str">
        <f>財産管理!K29</f>
        <v/>
      </c>
      <c r="W27" s="4" t="str">
        <f>財産管理!Q39</f>
        <v>その他</v>
      </c>
      <c r="X27" s="4" t="str">
        <f>財産管理!S39</f>
        <v/>
      </c>
      <c r="AB27" s="24"/>
      <c r="AC27" s="24"/>
      <c r="AD27" s="24"/>
    </row>
    <row r="28" spans="2:30">
      <c r="B28" s="27"/>
      <c r="S28" s="19"/>
      <c r="T28" s="23"/>
      <c r="U28" s="27" t="str">
        <f>財産管理!K30</f>
        <v/>
      </c>
      <c r="W28" s="4" t="str">
        <f>財産管理!Q40</f>
        <v>食器</v>
      </c>
      <c r="X28" s="4" t="str">
        <f>財産管理!S40</f>
        <v/>
      </c>
      <c r="AB28" s="24"/>
      <c r="AC28" s="24"/>
      <c r="AD28" s="24"/>
    </row>
    <row r="29" spans="2:30">
      <c r="B29" s="27"/>
      <c r="S29" s="19"/>
      <c r="T29" s="23"/>
      <c r="U29" s="27" t="str">
        <f>財産管理!K31</f>
        <v/>
      </c>
      <c r="W29" s="4" t="str">
        <f>財産管理!Q41</f>
        <v>家具</v>
      </c>
      <c r="X29" s="4" t="str">
        <f>財産管理!S41</f>
        <v/>
      </c>
      <c r="AB29" s="24"/>
      <c r="AC29" s="24"/>
      <c r="AD29" s="24"/>
    </row>
    <row r="30" spans="2:30">
      <c r="B30" s="27"/>
      <c r="S30" s="19"/>
      <c r="T30" s="23"/>
      <c r="U30" s="27" t="str">
        <f>財産管理!K32</f>
        <v/>
      </c>
      <c r="W30" s="4" t="str">
        <f>財産管理!Q42</f>
        <v>寝具</v>
      </c>
      <c r="X30" s="4" t="str">
        <f>財産管理!S42</f>
        <v/>
      </c>
      <c r="AC30" s="24"/>
      <c r="AD30" s="24"/>
    </row>
    <row r="31" spans="2:30">
      <c r="B31" s="27"/>
      <c r="S31" s="19"/>
      <c r="T31" s="23"/>
      <c r="U31" s="27" t="str">
        <f>財産管理!K33</f>
        <v/>
      </c>
      <c r="W31" s="4" t="str">
        <f>財産管理!Q43</f>
        <v>小物</v>
      </c>
      <c r="X31" s="4" t="str">
        <f>財産管理!S43</f>
        <v/>
      </c>
      <c r="AB31" s="24"/>
      <c r="AC31" s="24"/>
      <c r="AD31" s="24"/>
    </row>
    <row r="32" spans="2:30">
      <c r="B32" s="27"/>
      <c r="S32" s="19"/>
      <c r="T32" s="23"/>
      <c r="U32" s="27" t="str">
        <f>財産管理!K34</f>
        <v/>
      </c>
      <c r="W32" s="4" t="str">
        <f>財産管理!Q44</f>
        <v>その他</v>
      </c>
      <c r="X32" s="4" t="str">
        <f>財産管理!S44</f>
        <v/>
      </c>
      <c r="AB32" s="24"/>
      <c r="AC32" s="24"/>
      <c r="AD32" s="24"/>
    </row>
    <row r="33" spans="19:30">
      <c r="S33" s="19"/>
      <c r="T33" s="23"/>
      <c r="U33" s="15" t="str">
        <f>財産管理!K35</f>
        <v/>
      </c>
      <c r="W33" s="4" t="str">
        <f>財産管理!Q45</f>
        <v>筆記具</v>
      </c>
      <c r="X33" s="4" t="str">
        <f>財産管理!S45</f>
        <v/>
      </c>
      <c r="AB33" s="24"/>
      <c r="AC33" s="24"/>
      <c r="AD33" s="24"/>
    </row>
    <row r="34" spans="19:30">
      <c r="S34" s="19"/>
      <c r="T34" s="23"/>
      <c r="U34" s="27" t="str">
        <f>財産管理!K36</f>
        <v/>
      </c>
      <c r="W34" s="4" t="str">
        <f>財産管理!Q46</f>
        <v>ノート</v>
      </c>
      <c r="X34" s="4" t="str">
        <f>財産管理!S46</f>
        <v/>
      </c>
      <c r="AC34" s="24"/>
      <c r="AD34" s="24"/>
    </row>
    <row r="35" spans="19:30">
      <c r="S35" s="19"/>
      <c r="T35" s="23"/>
      <c r="U35" s="27" t="str">
        <f>財産管理!K37</f>
        <v/>
      </c>
      <c r="W35" s="4" t="str">
        <f>財産管理!Q47</f>
        <v>ルーズリーフ</v>
      </c>
      <c r="X35" s="4" t="str">
        <f>財産管理!S47</f>
        <v/>
      </c>
      <c r="AB35" s="24"/>
      <c r="AC35" s="24"/>
      <c r="AD35" s="24"/>
    </row>
    <row r="36" spans="19:30">
      <c r="S36" s="19"/>
      <c r="T36" s="23"/>
      <c r="U36" s="27" t="str">
        <f>財産管理!K38</f>
        <v/>
      </c>
      <c r="W36" s="4" t="str">
        <f>財産管理!Q48</f>
        <v>工具</v>
      </c>
      <c r="X36" s="4" t="str">
        <f>財産管理!S48</f>
        <v/>
      </c>
      <c r="AB36" s="24"/>
      <c r="AC36" s="24"/>
      <c r="AD36" s="24"/>
    </row>
    <row r="37" spans="19:30">
      <c r="S37" s="19"/>
      <c r="T37" s="23"/>
      <c r="U37" s="27" t="str">
        <f>財産管理!K39</f>
        <v/>
      </c>
      <c r="W37" s="4" t="str">
        <f>財産管理!Q49</f>
        <v>その他</v>
      </c>
      <c r="X37" s="4" t="str">
        <f>財産管理!S49</f>
        <v/>
      </c>
    </row>
    <row r="38" spans="19:30">
      <c r="S38" s="19"/>
      <c r="T38" s="23"/>
      <c r="U38" s="15" t="str">
        <f>財産管理!K40</f>
        <v/>
      </c>
      <c r="W38" s="4" t="str">
        <f>財産管理!Q50</f>
        <v>小説</v>
      </c>
      <c r="X38" s="4" t="str">
        <f>財産管理!S50</f>
        <v/>
      </c>
    </row>
    <row r="39" spans="19:30">
      <c r="S39" s="19"/>
      <c r="T39" s="23"/>
      <c r="U39" s="27" t="str">
        <f>財産管理!K41</f>
        <v/>
      </c>
      <c r="W39" s="4" t="str">
        <f>財産管理!Q51</f>
        <v>新書</v>
      </c>
      <c r="X39" s="4" t="str">
        <f>財産管理!S51</f>
        <v/>
      </c>
    </row>
    <row r="40" spans="19:30">
      <c r="S40" s="19"/>
      <c r="T40" s="23"/>
      <c r="U40" s="27" t="str">
        <f>財産管理!K42</f>
        <v/>
      </c>
      <c r="W40" s="4" t="str">
        <f>財産管理!Q52</f>
        <v>雑誌</v>
      </c>
      <c r="X40" s="4" t="str">
        <f>財産管理!S52</f>
        <v/>
      </c>
    </row>
    <row r="41" spans="19:30">
      <c r="S41" s="19"/>
      <c r="T41" s="23"/>
      <c r="U41" s="27" t="str">
        <f>財産管理!K43</f>
        <v/>
      </c>
      <c r="W41" s="4" t="str">
        <f>財産管理!Q53</f>
        <v>漫画</v>
      </c>
      <c r="X41" s="4" t="str">
        <f>財産管理!S53</f>
        <v/>
      </c>
    </row>
    <row r="42" spans="19:30">
      <c r="S42" s="19"/>
      <c r="T42" s="23"/>
      <c r="U42" s="27" t="str">
        <f>財産管理!K44</f>
        <v/>
      </c>
      <c r="W42" s="4" t="str">
        <f>財産管理!Q54</f>
        <v>教育</v>
      </c>
      <c r="X42" s="4" t="str">
        <f>財産管理!S54</f>
        <v/>
      </c>
    </row>
    <row r="43" spans="19:30">
      <c r="S43" s="19"/>
      <c r="T43" s="23"/>
      <c r="U43" s="15" t="str">
        <f>財産管理!K45</f>
        <v/>
      </c>
      <c r="W43" s="4" t="str">
        <f>財産管理!Q55</f>
        <v>その他</v>
      </c>
      <c r="X43" s="4" t="str">
        <f>財産管理!S55</f>
        <v/>
      </c>
    </row>
    <row r="44" spans="19:30">
      <c r="S44" s="19"/>
      <c r="T44" s="23"/>
      <c r="U44" s="27" t="str">
        <f>財産管理!K46</f>
        <v/>
      </c>
      <c r="W44" s="4" t="str">
        <f>財産管理!Q56</f>
        <v>交通ICカード</v>
      </c>
      <c r="X44" s="4" t="str">
        <f>財産管理!S56</f>
        <v/>
      </c>
    </row>
    <row r="45" spans="19:30">
      <c r="S45" s="19"/>
      <c r="T45" s="23"/>
      <c r="U45" s="27" t="str">
        <f>財産管理!K47</f>
        <v/>
      </c>
      <c r="W45" s="4" t="str">
        <f>財産管理!Q57</f>
        <v>電子マネー</v>
      </c>
      <c r="X45" s="4" t="str">
        <f>財産管理!S57</f>
        <v/>
      </c>
    </row>
    <row r="46" spans="19:30">
      <c r="S46" s="19"/>
      <c r="T46" s="23"/>
      <c r="U46" s="27" t="str">
        <f>財産管理!K48</f>
        <v/>
      </c>
      <c r="W46" s="4" t="str">
        <f>財産管理!Q58</f>
        <v>クラウド課金</v>
      </c>
      <c r="X46" s="4" t="str">
        <f>財産管理!S58</f>
        <v/>
      </c>
    </row>
    <row r="47" spans="19:30">
      <c r="S47" s="19"/>
      <c r="T47" s="23"/>
      <c r="U47" s="27" t="str">
        <f>財産管理!K49</f>
        <v/>
      </c>
      <c r="W47" s="4" t="str">
        <f>財産管理!Q59</f>
        <v>ゲーム課金</v>
      </c>
      <c r="X47" s="4" t="str">
        <f>財産管理!S59</f>
        <v/>
      </c>
    </row>
    <row r="48" spans="19:30">
      <c r="S48" s="19"/>
      <c r="T48" s="23"/>
      <c r="U48" s="15" t="str">
        <f>財産管理!K50</f>
        <v/>
      </c>
      <c r="W48" s="4" t="str">
        <f>財産管理!Q60</f>
        <v>その他</v>
      </c>
      <c r="X48" s="4" t="str">
        <f>財産管理!S60</f>
        <v/>
      </c>
    </row>
    <row r="49" spans="19:24">
      <c r="S49" s="19"/>
      <c r="T49" s="23"/>
      <c r="U49" s="27" t="str">
        <f>財産管理!K51</f>
        <v/>
      </c>
      <c r="W49" s="4" t="str">
        <f>財産管理!Q61</f>
        <v>給与</v>
      </c>
      <c r="X49" s="4" t="str">
        <f>財産管理!S61</f>
        <v/>
      </c>
    </row>
    <row r="50" spans="19:24">
      <c r="S50" s="19"/>
      <c r="T50" s="23"/>
      <c r="U50" s="27" t="str">
        <f>財産管理!K52</f>
        <v/>
      </c>
      <c r="W50" s="4" t="str">
        <f>財産管理!Q62</f>
        <v>償却業務</v>
      </c>
      <c r="X50" s="4" t="str">
        <f>財産管理!S62</f>
        <v/>
      </c>
    </row>
    <row r="51" spans="19:24">
      <c r="S51" s="19"/>
      <c r="T51" s="23"/>
      <c r="U51" s="27" t="str">
        <f>財産管理!K53</f>
        <v/>
      </c>
      <c r="W51" s="4" t="str">
        <f>財産管理!Q63</f>
        <v>その他</v>
      </c>
      <c r="X51" s="4" t="str">
        <f>財産管理!S63</f>
        <v/>
      </c>
    </row>
    <row r="52" spans="19:24">
      <c r="S52" s="19"/>
      <c r="T52" s="23"/>
      <c r="U52" s="27" t="str">
        <f>財産管理!K54</f>
        <v/>
      </c>
      <c r="W52" s="4" t="str">
        <f>財産管理!Q64</f>
        <v>調整</v>
      </c>
      <c r="X52" s="4" t="str">
        <f>財産管理!S64</f>
        <v/>
      </c>
    </row>
    <row r="53" spans="19:24">
      <c r="S53" s="19"/>
      <c r="T53" s="23"/>
      <c r="U53" s="15" t="str">
        <f>財産管理!K55</f>
        <v/>
      </c>
      <c r="W53" s="4" t="str">
        <f>財産管理!Q65</f>
        <v>機密</v>
      </c>
      <c r="X53" s="4" t="str">
        <f>財産管理!S65</f>
        <v/>
      </c>
    </row>
    <row r="54" spans="19:24">
      <c r="S54" s="19"/>
      <c r="T54" s="23"/>
      <c r="U54" s="27" t="str">
        <f>財産管理!K56</f>
        <v/>
      </c>
      <c r="W54" s="4" t="str">
        <f>財産管理!Q67</f>
        <v>その他</v>
      </c>
      <c r="X54" s="4" t="str">
        <f>財産管理!S66</f>
        <v/>
      </c>
    </row>
    <row r="55" spans="19:24">
      <c r="S55" s="19"/>
      <c r="T55" s="23"/>
      <c r="U55" s="27" t="str">
        <f>財産管理!K57</f>
        <v/>
      </c>
      <c r="W55" s="41"/>
      <c r="X55" s="41"/>
    </row>
    <row r="56" spans="19:24">
      <c r="S56" s="19"/>
      <c r="T56" s="23"/>
      <c r="U56" s="27" t="str">
        <f>財産管理!K58</f>
        <v/>
      </c>
      <c r="W56" s="41"/>
      <c r="X56" s="41"/>
    </row>
    <row r="57" spans="19:24">
      <c r="S57" s="19"/>
      <c r="T57" s="23"/>
      <c r="U57" s="27" t="str">
        <f>財産管理!K59</f>
        <v/>
      </c>
      <c r="W57" s="41"/>
      <c r="X57" s="41"/>
    </row>
    <row r="58" spans="19:24">
      <c r="S58" s="19"/>
      <c r="T58" s="23"/>
      <c r="U58" s="15" t="str">
        <f>財産管理!K60</f>
        <v/>
      </c>
      <c r="W58" s="41"/>
      <c r="X58" s="41"/>
    </row>
    <row r="59" spans="19:24">
      <c r="S59" s="19"/>
      <c r="T59" s="23"/>
      <c r="U59" s="27" t="str">
        <f>財産管理!K61</f>
        <v/>
      </c>
      <c r="W59" s="41"/>
      <c r="X59" s="41"/>
    </row>
    <row r="60" spans="19:24">
      <c r="S60" s="19"/>
      <c r="T60" s="23"/>
      <c r="U60" s="27" t="str">
        <f>財産管理!K62</f>
        <v/>
      </c>
      <c r="W60" s="41"/>
      <c r="X60" s="41"/>
    </row>
    <row r="61" spans="19:24">
      <c r="S61" s="19"/>
      <c r="T61" s="23"/>
      <c r="U61" s="27" t="str">
        <f>財産管理!K63</f>
        <v/>
      </c>
      <c r="W61" s="41"/>
      <c r="X61" s="41"/>
    </row>
    <row r="62" spans="19:24">
      <c r="S62" s="19"/>
      <c r="T62" s="23"/>
      <c r="U62" s="27" t="str">
        <f>財産管理!K64</f>
        <v/>
      </c>
      <c r="W62" s="41"/>
      <c r="X62" s="41"/>
    </row>
    <row r="63" spans="19:24">
      <c r="S63" s="19"/>
      <c r="T63" s="23"/>
      <c r="U63" s="15" t="str">
        <f>財産管理!K65</f>
        <v/>
      </c>
      <c r="W63" s="41"/>
      <c r="X63" s="41"/>
    </row>
    <row r="64" spans="19:24">
      <c r="S64" s="19"/>
      <c r="T64" s="23"/>
      <c r="U64" s="27" t="str">
        <f>財産管理!K66</f>
        <v/>
      </c>
      <c r="W64" s="41"/>
      <c r="X64" s="41"/>
    </row>
    <row r="65" spans="19:24">
      <c r="S65" s="19"/>
      <c r="T65" s="23"/>
      <c r="U65" s="27" t="str">
        <f>財産管理!K67</f>
        <v/>
      </c>
      <c r="W65" s="41"/>
      <c r="X65" s="41"/>
    </row>
    <row r="66" spans="19:24">
      <c r="S66" s="19"/>
      <c r="T66" s="23"/>
      <c r="U66" s="27" t="str">
        <f>財産管理!K68</f>
        <v/>
      </c>
      <c r="W66" s="41"/>
      <c r="X66" s="41"/>
    </row>
    <row r="67" spans="19:24">
      <c r="S67" s="19"/>
      <c r="T67" s="23"/>
      <c r="U67" s="27" t="str">
        <f>財産管理!K69</f>
        <v/>
      </c>
      <c r="W67" s="41"/>
      <c r="X67" s="41"/>
    </row>
    <row r="68" spans="19:24">
      <c r="S68" s="19"/>
      <c r="T68" s="23"/>
      <c r="U68" s="15" t="str">
        <f>財産管理!K70</f>
        <v/>
      </c>
      <c r="W68" s="41"/>
      <c r="X68" s="41"/>
    </row>
    <row r="69" spans="19:24">
      <c r="S69" s="19"/>
      <c r="T69" s="23"/>
      <c r="U69" s="27" t="str">
        <f>財産管理!K71</f>
        <v/>
      </c>
      <c r="W69" s="41"/>
      <c r="X69" s="41"/>
    </row>
    <row r="70" spans="19:24">
      <c r="S70" s="19"/>
      <c r="T70" s="23"/>
      <c r="U70" s="27" t="str">
        <f>財産管理!K72</f>
        <v/>
      </c>
      <c r="W70" s="41"/>
      <c r="X70" s="41"/>
    </row>
    <row r="71" spans="19:24">
      <c r="S71" s="19"/>
      <c r="T71" s="23"/>
      <c r="U71" s="27" t="str">
        <f>財産管理!K73</f>
        <v/>
      </c>
      <c r="W71" s="41"/>
      <c r="X71" s="41"/>
    </row>
    <row r="72" spans="19:24">
      <c r="S72" s="19"/>
      <c r="T72" s="23"/>
      <c r="U72" s="27" t="str">
        <f>財産管理!K74</f>
        <v/>
      </c>
      <c r="W72" s="41"/>
      <c r="X72" s="41"/>
    </row>
    <row r="73" spans="19:24">
      <c r="S73" s="19"/>
      <c r="T73" s="23"/>
      <c r="U73" s="15" t="str">
        <f>財産管理!K75</f>
        <v/>
      </c>
      <c r="W73" s="41"/>
      <c r="X73" s="41"/>
    </row>
    <row r="74" spans="19:24">
      <c r="S74" s="19"/>
      <c r="T74" s="23"/>
      <c r="U74" s="27" t="str">
        <f>財産管理!K76</f>
        <v/>
      </c>
      <c r="W74" s="41"/>
      <c r="X74" s="41"/>
    </row>
    <row r="75" spans="19:24">
      <c r="S75" s="19"/>
      <c r="T75" s="23"/>
      <c r="U75" s="27" t="str">
        <f>財産管理!K77</f>
        <v/>
      </c>
      <c r="W75" s="41"/>
      <c r="X75" s="41"/>
    </row>
    <row r="76" spans="19:24">
      <c r="S76" s="19"/>
      <c r="T76" s="23"/>
      <c r="U76" s="27" t="str">
        <f>財産管理!K78</f>
        <v/>
      </c>
      <c r="W76" s="41"/>
      <c r="X76" s="41"/>
    </row>
    <row r="77" spans="19:24">
      <c r="S77" s="19"/>
      <c r="T77" s="23"/>
      <c r="U77" s="27" t="str">
        <f>財産管理!K79</f>
        <v/>
      </c>
      <c r="W77" s="41"/>
      <c r="X77" s="41"/>
    </row>
    <row r="78" spans="19:24">
      <c r="S78" s="19"/>
      <c r="T78" s="23"/>
      <c r="U78" s="15" t="str">
        <f>財産管理!K80</f>
        <v/>
      </c>
      <c r="W78" s="41"/>
      <c r="X78" s="41"/>
    </row>
    <row r="79" spans="19:24">
      <c r="S79" s="19"/>
      <c r="T79" s="23"/>
      <c r="U79" s="27" t="str">
        <f>財産管理!K81</f>
        <v/>
      </c>
      <c r="W79" s="41"/>
      <c r="X79" s="41"/>
    </row>
    <row r="80" spans="19:24">
      <c r="S80" s="19"/>
      <c r="T80" s="23"/>
      <c r="U80" s="27" t="str">
        <f>財産管理!K82</f>
        <v/>
      </c>
      <c r="W80" s="41"/>
      <c r="X80" s="41"/>
    </row>
    <row r="81" spans="19:24">
      <c r="S81" s="19"/>
      <c r="T81" s="23"/>
      <c r="U81" s="27" t="str">
        <f>財産管理!K83</f>
        <v/>
      </c>
      <c r="W81" s="41"/>
      <c r="X81" s="41"/>
    </row>
    <row r="82" spans="19:24">
      <c r="S82" s="19"/>
      <c r="T82" s="23"/>
      <c r="U82" s="27" t="str">
        <f>財産管理!K84</f>
        <v/>
      </c>
      <c r="W82" s="41"/>
      <c r="X82" s="41"/>
    </row>
    <row r="83" spans="19:24">
      <c r="S83" s="19"/>
      <c r="T83" s="23"/>
      <c r="U83" s="15" t="str">
        <f>財産管理!K85</f>
        <v/>
      </c>
      <c r="W83" s="41"/>
      <c r="X83" s="41"/>
    </row>
    <row r="84" spans="19:24">
      <c r="S84" s="19"/>
      <c r="T84" s="23"/>
      <c r="U84" s="27" t="str">
        <f>財産管理!K86</f>
        <v/>
      </c>
      <c r="W84" s="41"/>
      <c r="X84" s="41"/>
    </row>
    <row r="85" spans="19:24">
      <c r="S85" s="19"/>
      <c r="T85" s="23"/>
      <c r="U85" s="27" t="str">
        <f>財産管理!K87</f>
        <v/>
      </c>
      <c r="W85" s="41"/>
      <c r="X85" s="41"/>
    </row>
    <row r="86" spans="19:24">
      <c r="S86" s="19"/>
      <c r="T86" s="23"/>
      <c r="U86" s="27" t="str">
        <f>財産管理!K88</f>
        <v/>
      </c>
      <c r="W86" s="41"/>
      <c r="X86" s="41"/>
    </row>
    <row r="87" spans="19:24">
      <c r="S87" s="19"/>
      <c r="T87" s="23"/>
      <c r="U87" s="27" t="str">
        <f>財産管理!K89</f>
        <v/>
      </c>
      <c r="W87" s="41"/>
      <c r="X87" s="41"/>
    </row>
    <row r="88" spans="19:24">
      <c r="S88" s="19"/>
      <c r="T88" s="23"/>
      <c r="U88" s="15" t="str">
        <f>財産管理!K90</f>
        <v/>
      </c>
      <c r="W88" s="41"/>
      <c r="X88" s="41"/>
    </row>
    <row r="89" spans="19:24">
      <c r="S89" s="19"/>
      <c r="T89" s="23"/>
      <c r="U89" s="27" t="str">
        <f>財産管理!K91</f>
        <v/>
      </c>
    </row>
    <row r="90" spans="19:24">
      <c r="S90" s="19"/>
      <c r="T90" s="23"/>
      <c r="U90" s="27" t="str">
        <f>財産管理!K92</f>
        <v/>
      </c>
    </row>
    <row r="91" spans="19:24">
      <c r="S91" s="19"/>
      <c r="T91" s="23"/>
      <c r="U91" s="27" t="str">
        <f>財産管理!K93</f>
        <v/>
      </c>
    </row>
    <row r="92" spans="19:24">
      <c r="S92" s="19"/>
      <c r="T92" s="23"/>
      <c r="U92" s="27" t="str">
        <f>財産管理!K94</f>
        <v/>
      </c>
    </row>
    <row r="93" spans="19:24">
      <c r="S93" s="19"/>
      <c r="T93" s="23"/>
      <c r="U93" s="15" t="str">
        <f>財産管理!K95</f>
        <v/>
      </c>
    </row>
    <row r="94" spans="19:24">
      <c r="S94" s="19"/>
      <c r="T94" s="23"/>
      <c r="U94" s="27" t="str">
        <f>財産管理!K96</f>
        <v/>
      </c>
    </row>
    <row r="95" spans="19:24">
      <c r="S95" s="19"/>
      <c r="T95" s="23"/>
      <c r="U95" s="27" t="str">
        <f>財産管理!K97</f>
        <v/>
      </c>
    </row>
    <row r="96" spans="19:24">
      <c r="S96" s="19"/>
      <c r="T96" s="23"/>
      <c r="U96" s="27" t="str">
        <f>財産管理!K98</f>
        <v/>
      </c>
    </row>
    <row r="97" spans="19:21">
      <c r="S97" s="19"/>
      <c r="T97" s="23"/>
      <c r="U97" s="27" t="str">
        <f>財産管理!K99</f>
        <v/>
      </c>
    </row>
    <row r="98" spans="19:21">
      <c r="S98" s="19"/>
      <c r="T98" s="23"/>
      <c r="U98" s="15" t="str">
        <f>財産管理!K100</f>
        <v/>
      </c>
    </row>
    <row r="99" spans="19:21">
      <c r="S99" s="19"/>
      <c r="T99" s="23"/>
      <c r="U99" s="27" t="str">
        <f>財産管理!K101</f>
        <v/>
      </c>
    </row>
    <row r="100" spans="19:21">
      <c r="S100" s="19"/>
      <c r="T100" s="23"/>
      <c r="U100" s="27" t="str">
        <f>財産管理!K102</f>
        <v/>
      </c>
    </row>
    <row r="101" spans="19:21">
      <c r="S101" s="19"/>
      <c r="T101" s="23"/>
      <c r="U101" s="27" t="str">
        <f>財産管理!K103</f>
        <v/>
      </c>
    </row>
    <row r="102" spans="19:21">
      <c r="S102" s="19"/>
      <c r="T102" s="23"/>
      <c r="U102" s="27" t="str">
        <f>財産管理!K104</f>
        <v/>
      </c>
    </row>
    <row r="103" spans="19:21">
      <c r="S103" s="19"/>
      <c r="T103" s="23"/>
      <c r="U103" s="15" t="str">
        <f>財産管理!K105</f>
        <v/>
      </c>
    </row>
    <row r="104" spans="19:21">
      <c r="S104" s="19"/>
      <c r="T104" s="23"/>
      <c r="U104" s="27" t="str">
        <f>財産管理!K106</f>
        <v/>
      </c>
    </row>
    <row r="105" spans="19:21">
      <c r="S105" s="19"/>
      <c r="T105" s="23"/>
      <c r="U105" s="27" t="str">
        <f>財産管理!K107</f>
        <v/>
      </c>
    </row>
    <row r="106" spans="19:21">
      <c r="S106" s="19"/>
      <c r="T106" s="23"/>
      <c r="U106" s="27" t="str">
        <f>財産管理!K108</f>
        <v/>
      </c>
    </row>
    <row r="107" spans="19:21">
      <c r="S107" s="19"/>
      <c r="T107" s="23"/>
      <c r="U107" s="27" t="str">
        <f>財産管理!K109</f>
        <v/>
      </c>
    </row>
    <row r="108" spans="19:21">
      <c r="S108" s="19"/>
      <c r="T108" s="23"/>
      <c r="U108" s="15" t="str">
        <f>財産管理!K110</f>
        <v/>
      </c>
    </row>
    <row r="109" spans="19:21">
      <c r="S109" s="19"/>
      <c r="T109" s="23"/>
      <c r="U109" s="27" t="str">
        <f>財産管理!K111</f>
        <v/>
      </c>
    </row>
    <row r="110" spans="19:21">
      <c r="S110" s="19"/>
      <c r="T110" s="23"/>
      <c r="U110" s="27" t="str">
        <f>財産管理!K112</f>
        <v/>
      </c>
    </row>
    <row r="111" spans="19:21">
      <c r="S111" s="19"/>
      <c r="T111" s="23"/>
      <c r="U111" s="27" t="str">
        <f>財産管理!K113</f>
        <v/>
      </c>
    </row>
    <row r="112" spans="19:21">
      <c r="S112" s="19"/>
      <c r="T112" s="23"/>
      <c r="U112" s="27" t="str">
        <f>財産管理!K114</f>
        <v/>
      </c>
    </row>
    <row r="113" spans="19:21">
      <c r="S113" s="19"/>
      <c r="T113" s="23"/>
      <c r="U113" s="15" t="str">
        <f>財産管理!K115</f>
        <v/>
      </c>
    </row>
    <row r="114" spans="19:21">
      <c r="S114" s="19"/>
      <c r="T114" s="23"/>
      <c r="U114" s="27" t="str">
        <f>財産管理!K116</f>
        <v/>
      </c>
    </row>
    <row r="115" spans="19:21">
      <c r="S115" s="19"/>
      <c r="T115" s="23"/>
      <c r="U115" s="27" t="str">
        <f>財産管理!K117</f>
        <v/>
      </c>
    </row>
    <row r="116" spans="19:21">
      <c r="S116" s="19"/>
      <c r="T116" s="23"/>
      <c r="U116" s="27" t="str">
        <f>財産管理!K118</f>
        <v/>
      </c>
    </row>
    <row r="117" spans="19:21">
      <c r="S117" s="19"/>
      <c r="T117" s="23"/>
      <c r="U117" s="27" t="str">
        <f>財産管理!K119</f>
        <v/>
      </c>
    </row>
    <row r="118" spans="19:21">
      <c r="S118" s="19"/>
      <c r="T118" s="23"/>
      <c r="U118" s="15" t="str">
        <f>財産管理!K120</f>
        <v/>
      </c>
    </row>
    <row r="119" spans="19:21">
      <c r="S119" s="19"/>
      <c r="T119" s="23"/>
      <c r="U119" s="27" t="str">
        <f>財産管理!K121</f>
        <v/>
      </c>
    </row>
    <row r="120" spans="19:21">
      <c r="S120" s="19"/>
      <c r="T120" s="23"/>
      <c r="U120" s="27" t="str">
        <f>財産管理!K122</f>
        <v/>
      </c>
    </row>
    <row r="121" spans="19:21">
      <c r="S121" s="19"/>
      <c r="T121" s="23"/>
      <c r="U121" s="27" t="str">
        <f>財産管理!K123</f>
        <v/>
      </c>
    </row>
    <row r="122" spans="19:21">
      <c r="S122" s="19"/>
      <c r="T122" s="23"/>
      <c r="U122" s="27" t="str">
        <f>財産管理!K124</f>
        <v/>
      </c>
    </row>
    <row r="123" spans="19:21">
      <c r="S123" s="19"/>
      <c r="T123" s="23"/>
      <c r="U123" s="15" t="str">
        <f>財産管理!K125</f>
        <v/>
      </c>
    </row>
    <row r="124" spans="19:21">
      <c r="S124" s="19"/>
      <c r="T124" s="23"/>
      <c r="U124" s="27" t="str">
        <f>財産管理!K126</f>
        <v/>
      </c>
    </row>
    <row r="125" spans="19:21">
      <c r="S125" s="19"/>
      <c r="T125" s="23"/>
      <c r="U125" s="27" t="str">
        <f>財産管理!K127</f>
        <v/>
      </c>
    </row>
    <row r="126" spans="19:21">
      <c r="S126" s="19"/>
      <c r="T126" s="23"/>
      <c r="U126" s="27" t="str">
        <f>財産管理!K128</f>
        <v/>
      </c>
    </row>
    <row r="127" spans="19:21">
      <c r="S127" s="19"/>
      <c r="T127" s="23"/>
      <c r="U127" s="27" t="str">
        <f>財産管理!K129</f>
        <v/>
      </c>
    </row>
    <row r="128" spans="19:21">
      <c r="S128" s="19"/>
      <c r="T128" s="23"/>
      <c r="U128" s="15" t="str">
        <f>財産管理!K130</f>
        <v/>
      </c>
    </row>
    <row r="129" spans="19:21">
      <c r="S129" s="19"/>
      <c r="T129" s="23"/>
      <c r="U129" s="27" t="str">
        <f>財産管理!K131</f>
        <v/>
      </c>
    </row>
    <row r="130" spans="19:21">
      <c r="S130" s="19"/>
      <c r="T130" s="23"/>
      <c r="U130" s="27" t="str">
        <f>財産管理!K132</f>
        <v/>
      </c>
    </row>
    <row r="131" spans="19:21">
      <c r="S131" s="19"/>
      <c r="T131" s="23"/>
      <c r="U131" s="27" t="str">
        <f>財産管理!K133</f>
        <v/>
      </c>
    </row>
    <row r="132" spans="19:21">
      <c r="S132" s="19"/>
      <c r="T132" s="23"/>
      <c r="U132" s="27" t="str">
        <f>財産管理!K134</f>
        <v/>
      </c>
    </row>
    <row r="133" spans="19:21">
      <c r="S133" s="19"/>
      <c r="T133" s="23"/>
      <c r="U133" s="15" t="str">
        <f>財産管理!K135</f>
        <v/>
      </c>
    </row>
    <row r="134" spans="19:21">
      <c r="S134" s="19"/>
      <c r="T134" s="23"/>
      <c r="U134" s="27" t="str">
        <f>財産管理!K136</f>
        <v/>
      </c>
    </row>
    <row r="135" spans="19:21">
      <c r="S135" s="19"/>
      <c r="T135" s="23"/>
      <c r="U135" s="27" t="str">
        <f>財産管理!K137</f>
        <v/>
      </c>
    </row>
    <row r="136" spans="19:21">
      <c r="S136" s="19"/>
      <c r="T136" s="23"/>
      <c r="U136" s="27" t="str">
        <f>財産管理!K138</f>
        <v/>
      </c>
    </row>
    <row r="137" spans="19:21">
      <c r="S137" s="19"/>
      <c r="T137" s="23"/>
      <c r="U137" s="27" t="str">
        <f>財産管理!K139</f>
        <v/>
      </c>
    </row>
    <row r="138" spans="19:21">
      <c r="S138" s="19"/>
      <c r="T138" s="23"/>
      <c r="U138" s="15" t="str">
        <f>財産管理!K140</f>
        <v/>
      </c>
    </row>
    <row r="139" spans="19:21">
      <c r="S139" s="19"/>
      <c r="T139" s="23"/>
      <c r="U139" s="27" t="str">
        <f>財産管理!K141</f>
        <v/>
      </c>
    </row>
    <row r="140" spans="19:21">
      <c r="S140" s="19"/>
      <c r="T140" s="23"/>
      <c r="U140" s="27" t="str">
        <f>財産管理!K142</f>
        <v/>
      </c>
    </row>
    <row r="141" spans="19:21">
      <c r="S141" s="19"/>
      <c r="T141" s="23"/>
      <c r="U141" s="27" t="str">
        <f>財産管理!K143</f>
        <v/>
      </c>
    </row>
    <row r="142" spans="19:21">
      <c r="S142" s="19"/>
      <c r="T142" s="23"/>
      <c r="U142" s="27" t="str">
        <f>財産管理!K144</f>
        <v/>
      </c>
    </row>
    <row r="143" spans="19:21">
      <c r="S143" s="19"/>
      <c r="T143" s="23"/>
      <c r="U143" s="15" t="str">
        <f>財産管理!K145</f>
        <v/>
      </c>
    </row>
    <row r="144" spans="19:21">
      <c r="S144" s="19"/>
      <c r="T144" s="23"/>
      <c r="U144" s="27" t="str">
        <f>財産管理!K146</f>
        <v/>
      </c>
    </row>
    <row r="145" spans="19:21">
      <c r="S145" s="19"/>
      <c r="T145" s="23"/>
      <c r="U145" s="27" t="str">
        <f>財産管理!K147</f>
        <v/>
      </c>
    </row>
    <row r="146" spans="19:21">
      <c r="S146" s="19"/>
      <c r="T146" s="23"/>
      <c r="U146" s="27" t="str">
        <f>財産管理!K148</f>
        <v/>
      </c>
    </row>
    <row r="147" spans="19:21">
      <c r="S147" s="19"/>
      <c r="T147" s="23"/>
      <c r="U147" s="27" t="str">
        <f>財産管理!K149</f>
        <v/>
      </c>
    </row>
    <row r="148" spans="19:21">
      <c r="S148" s="19"/>
      <c r="T148" s="23"/>
      <c r="U148" s="15" t="str">
        <f>財産管理!K150</f>
        <v/>
      </c>
    </row>
    <row r="149" spans="19:21">
      <c r="S149" s="19"/>
      <c r="T149" s="23"/>
      <c r="U149" s="27" t="str">
        <f>財産管理!K151</f>
        <v/>
      </c>
    </row>
    <row r="150" spans="19:21">
      <c r="S150" s="19"/>
      <c r="T150" s="23"/>
      <c r="U150" s="27" t="str">
        <f>財産管理!K152</f>
        <v/>
      </c>
    </row>
    <row r="151" spans="19:21">
      <c r="S151" s="19"/>
      <c r="T151" s="23"/>
      <c r="U151" s="27" t="str">
        <f>財産管理!K153</f>
        <v/>
      </c>
    </row>
    <row r="152" spans="19:21">
      <c r="S152" s="19"/>
      <c r="T152" s="23"/>
      <c r="U152" s="27" t="str">
        <f>財産管理!K154</f>
        <v/>
      </c>
    </row>
    <row r="153" spans="19:21">
      <c r="S153" s="19"/>
      <c r="T153" s="23"/>
      <c r="U153" s="15" t="str">
        <f>財産管理!K155</f>
        <v/>
      </c>
    </row>
    <row r="154" spans="19:21">
      <c r="S154" s="19"/>
      <c r="T154" s="23"/>
      <c r="U154" s="27" t="str">
        <f>財産管理!K156</f>
        <v/>
      </c>
    </row>
    <row r="155" spans="19:21">
      <c r="S155" s="19"/>
      <c r="T155" s="23"/>
      <c r="U155" s="27" t="str">
        <f>財産管理!K157</f>
        <v/>
      </c>
    </row>
    <row r="156" spans="19:21">
      <c r="S156" s="19"/>
      <c r="T156" s="23"/>
      <c r="U156" s="27" t="str">
        <f>財産管理!K158</f>
        <v/>
      </c>
    </row>
    <row r="157" spans="19:21">
      <c r="S157" s="19"/>
      <c r="T157" s="23"/>
      <c r="U157" s="27" t="str">
        <f>財産管理!K159</f>
        <v/>
      </c>
    </row>
    <row r="158" spans="19:21">
      <c r="S158" s="19"/>
      <c r="T158" s="23"/>
      <c r="U158" s="15" t="str">
        <f>財産管理!K160</f>
        <v/>
      </c>
    </row>
    <row r="159" spans="19:21">
      <c r="S159" s="19"/>
      <c r="T159" s="23"/>
      <c r="U159" s="27" t="str">
        <f>財産管理!K161</f>
        <v/>
      </c>
    </row>
    <row r="160" spans="19:21">
      <c r="S160" s="19"/>
      <c r="T160" s="23"/>
      <c r="U160" s="27" t="str">
        <f>財産管理!K162</f>
        <v/>
      </c>
    </row>
    <row r="161" spans="19:21">
      <c r="S161" s="19"/>
      <c r="T161" s="23"/>
      <c r="U161" s="27" t="str">
        <f>財産管理!K163</f>
        <v/>
      </c>
    </row>
    <row r="162" spans="19:21">
      <c r="S162" s="19"/>
      <c r="T162" s="23"/>
      <c r="U162" s="27" t="str">
        <f>財産管理!K164</f>
        <v/>
      </c>
    </row>
    <row r="163" spans="19:21">
      <c r="S163" s="19"/>
      <c r="T163" s="23"/>
      <c r="U163" s="15" t="str">
        <f>財産管理!K165</f>
        <v/>
      </c>
    </row>
    <row r="164" spans="19:21">
      <c r="S164" s="19"/>
      <c r="T164" s="23"/>
      <c r="U164" s="27" t="str">
        <f>財産管理!K166</f>
        <v/>
      </c>
    </row>
    <row r="165" spans="19:21">
      <c r="S165" s="19"/>
      <c r="T165" s="23"/>
      <c r="U165" s="27" t="str">
        <f>財産管理!K167</f>
        <v/>
      </c>
    </row>
    <row r="166" spans="19:21">
      <c r="S166" s="19"/>
      <c r="T166" s="23"/>
      <c r="U166" s="27" t="str">
        <f>財産管理!K168</f>
        <v/>
      </c>
    </row>
    <row r="167" spans="19:21">
      <c r="S167" s="19"/>
      <c r="T167" s="23"/>
      <c r="U167" s="27" t="str">
        <f>財産管理!K169</f>
        <v/>
      </c>
    </row>
    <row r="168" spans="19:21">
      <c r="S168" s="19"/>
      <c r="T168" s="23"/>
      <c r="U168" s="15" t="str">
        <f>財産管理!K170</f>
        <v/>
      </c>
    </row>
    <row r="169" spans="19:21">
      <c r="S169" s="19"/>
      <c r="T169" s="23"/>
      <c r="U169" s="27" t="str">
        <f>財産管理!K171</f>
        <v/>
      </c>
    </row>
    <row r="170" spans="19:21">
      <c r="S170" s="19"/>
      <c r="T170" s="23"/>
      <c r="U170" s="27" t="str">
        <f>財産管理!K172</f>
        <v/>
      </c>
    </row>
    <row r="171" spans="19:21">
      <c r="S171" s="19"/>
      <c r="T171" s="23"/>
      <c r="U171" s="27" t="str">
        <f>財産管理!K173</f>
        <v/>
      </c>
    </row>
    <row r="172" spans="19:21">
      <c r="S172" s="19"/>
      <c r="T172" s="23"/>
      <c r="U172" s="27" t="str">
        <f>財産管理!K174</f>
        <v/>
      </c>
    </row>
    <row r="173" spans="19:21">
      <c r="S173" s="19"/>
      <c r="T173" s="23"/>
      <c r="U173" s="15" t="str">
        <f>財産管理!K175</f>
        <v/>
      </c>
    </row>
    <row r="174" spans="19:21">
      <c r="S174" s="19"/>
      <c r="T174" s="23"/>
      <c r="U174" s="27" t="str">
        <f>財産管理!K176</f>
        <v/>
      </c>
    </row>
    <row r="175" spans="19:21">
      <c r="S175" s="19"/>
      <c r="T175" s="23"/>
      <c r="U175" s="27" t="str">
        <f>財産管理!K177</f>
        <v/>
      </c>
    </row>
    <row r="176" spans="19:21">
      <c r="S176" s="19"/>
      <c r="T176" s="23"/>
      <c r="U176" s="27" t="str">
        <f>財産管理!K178</f>
        <v/>
      </c>
    </row>
    <row r="177" spans="19:21">
      <c r="S177" s="19"/>
      <c r="T177" s="23"/>
      <c r="U177" s="27" t="str">
        <f>財産管理!K179</f>
        <v/>
      </c>
    </row>
    <row r="178" spans="19:21">
      <c r="S178" s="19"/>
      <c r="T178" s="23"/>
      <c r="U178" s="15" t="str">
        <f>財産管理!K180</f>
        <v/>
      </c>
    </row>
    <row r="179" spans="19:21">
      <c r="S179" s="19"/>
      <c r="T179" s="23"/>
      <c r="U179" s="27" t="str">
        <f>財産管理!K181</f>
        <v/>
      </c>
    </row>
    <row r="180" spans="19:21">
      <c r="S180" s="19"/>
      <c r="T180" s="23"/>
      <c r="U180" s="27" t="str">
        <f>財産管理!K182</f>
        <v/>
      </c>
    </row>
    <row r="181" spans="19:21">
      <c r="S181" s="19"/>
      <c r="T181" s="23"/>
      <c r="U181" s="27" t="str">
        <f>財産管理!K183</f>
        <v/>
      </c>
    </row>
    <row r="182" spans="19:21">
      <c r="S182" s="19"/>
      <c r="T182" s="23"/>
      <c r="U182" s="27" t="str">
        <f>財産管理!K184</f>
        <v/>
      </c>
    </row>
    <row r="183" spans="19:21">
      <c r="S183" s="19"/>
      <c r="T183" s="23"/>
      <c r="U183" s="15" t="str">
        <f>財産管理!K185</f>
        <v/>
      </c>
    </row>
    <row r="184" spans="19:21">
      <c r="S184" s="19"/>
      <c r="T184" s="23"/>
      <c r="U184" s="27" t="str">
        <f>財産管理!K186</f>
        <v/>
      </c>
    </row>
    <row r="185" spans="19:21">
      <c r="S185" s="19"/>
      <c r="T185" s="23"/>
      <c r="U185" s="27" t="str">
        <f>財産管理!K187</f>
        <v/>
      </c>
    </row>
    <row r="186" spans="19:21">
      <c r="S186" s="19"/>
      <c r="T186" s="23"/>
      <c r="U186" s="27" t="str">
        <f>財産管理!K188</f>
        <v/>
      </c>
    </row>
    <row r="187" spans="19:21">
      <c r="S187" s="19"/>
      <c r="T187" s="23"/>
      <c r="U187" s="27" t="str">
        <f>財産管理!K189</f>
        <v/>
      </c>
    </row>
    <row r="188" spans="19:21">
      <c r="S188" s="19"/>
      <c r="T188" s="23"/>
      <c r="U188" s="15" t="str">
        <f>財産管理!K190</f>
        <v/>
      </c>
    </row>
    <row r="189" spans="19:21">
      <c r="S189" s="19"/>
      <c r="T189" s="23"/>
      <c r="U189" s="27" t="str">
        <f>財産管理!K191</f>
        <v/>
      </c>
    </row>
    <row r="190" spans="19:21">
      <c r="S190" s="19"/>
      <c r="T190" s="23"/>
      <c r="U190" s="27" t="str">
        <f>財産管理!K192</f>
        <v/>
      </c>
    </row>
    <row r="191" spans="19:21">
      <c r="S191" s="19"/>
      <c r="T191" s="23"/>
      <c r="U191" s="27" t="str">
        <f>財産管理!K193</f>
        <v/>
      </c>
    </row>
    <row r="192" spans="19:21">
      <c r="S192" s="19"/>
      <c r="T192" s="23"/>
      <c r="U192" s="27" t="str">
        <f>財産管理!K194</f>
        <v/>
      </c>
    </row>
    <row r="193" spans="19:21">
      <c r="S193" s="19"/>
      <c r="T193" s="23"/>
      <c r="U193" s="15" t="str">
        <f>財産管理!K195</f>
        <v/>
      </c>
    </row>
    <row r="194" spans="19:21">
      <c r="S194" s="19"/>
      <c r="T194" s="23"/>
      <c r="U194" s="27" t="str">
        <f>財産管理!K196</f>
        <v/>
      </c>
    </row>
    <row r="195" spans="19:21">
      <c r="S195" s="19"/>
      <c r="T195" s="23"/>
      <c r="U195" s="27" t="str">
        <f>財産管理!K197</f>
        <v/>
      </c>
    </row>
    <row r="196" spans="19:21">
      <c r="S196" s="19"/>
      <c r="T196" s="23"/>
      <c r="U196" s="27" t="str">
        <f>財産管理!K198</f>
        <v/>
      </c>
    </row>
    <row r="197" spans="19:21">
      <c r="S197" s="19"/>
      <c r="T197" s="23"/>
      <c r="U197" s="27" t="str">
        <f>財産管理!K199</f>
        <v/>
      </c>
    </row>
    <row r="198" spans="19:21">
      <c r="S198" s="19"/>
      <c r="T198" s="23"/>
      <c r="U198" s="15" t="str">
        <f>財産管理!K200</f>
        <v/>
      </c>
    </row>
    <row r="199" spans="19:21">
      <c r="S199" s="19"/>
      <c r="T199" s="23"/>
      <c r="U199" s="27" t="str">
        <f>財産管理!K201</f>
        <v/>
      </c>
    </row>
    <row r="200" spans="19:21">
      <c r="S200" s="19"/>
      <c r="T200" s="23"/>
      <c r="U200" s="27" t="str">
        <f>財産管理!K202</f>
        <v/>
      </c>
    </row>
    <row r="201" spans="19:21">
      <c r="S201" s="19"/>
      <c r="T201" s="23"/>
      <c r="U201" s="27" t="str">
        <f>財産管理!K203</f>
        <v/>
      </c>
    </row>
    <row r="202" spans="19:21">
      <c r="S202" s="19"/>
      <c r="T202" s="23"/>
      <c r="U202" s="27" t="str">
        <f>財産管理!K204</f>
        <v/>
      </c>
    </row>
    <row r="203" spans="19:21">
      <c r="S203" s="19"/>
      <c r="T203" s="23"/>
      <c r="U203" s="15" t="str">
        <f>財産管理!K205</f>
        <v/>
      </c>
    </row>
    <row r="204" spans="19:21">
      <c r="S204" s="19"/>
      <c r="T204" s="23"/>
      <c r="U204" s="27" t="str">
        <f>財産管理!K206</f>
        <v/>
      </c>
    </row>
    <row r="205" spans="19:21">
      <c r="S205" s="19"/>
      <c r="T205" s="23"/>
      <c r="U205" s="27" t="str">
        <f>財産管理!K207</f>
        <v/>
      </c>
    </row>
    <row r="206" spans="19:21">
      <c r="S206" s="19"/>
      <c r="T206" s="23"/>
      <c r="U206" s="27" t="str">
        <f>財産管理!K208</f>
        <v/>
      </c>
    </row>
    <row r="207" spans="19:21">
      <c r="S207" s="19"/>
      <c r="T207" s="23"/>
      <c r="U207" s="27" t="str">
        <f>財産管理!K209</f>
        <v/>
      </c>
    </row>
    <row r="208" spans="19:21">
      <c r="S208" s="19"/>
      <c r="T208" s="23"/>
      <c r="U208" s="15" t="str">
        <f>財産管理!K210</f>
        <v/>
      </c>
    </row>
    <row r="209" spans="19:21">
      <c r="S209" s="19"/>
      <c r="T209" s="23"/>
      <c r="U209" s="27" t="str">
        <f>財産管理!K211</f>
        <v/>
      </c>
    </row>
    <row r="210" spans="19:21">
      <c r="S210" s="19"/>
      <c r="T210" s="23"/>
      <c r="U210" s="27" t="str">
        <f>財産管理!K212</f>
        <v/>
      </c>
    </row>
    <row r="211" spans="19:21">
      <c r="S211" s="19"/>
      <c r="T211" s="23"/>
      <c r="U211" s="27" t="str">
        <f>財産管理!K213</f>
        <v/>
      </c>
    </row>
    <row r="212" spans="19:21">
      <c r="S212" s="19"/>
      <c r="T212" s="23"/>
      <c r="U212" s="27" t="str">
        <f>財産管理!K214</f>
        <v/>
      </c>
    </row>
    <row r="213" spans="19:21">
      <c r="S213" s="19"/>
      <c r="T213" s="23"/>
      <c r="U213" s="15" t="str">
        <f>財産管理!K215</f>
        <v/>
      </c>
    </row>
    <row r="214" spans="19:21">
      <c r="S214" s="19"/>
      <c r="T214" s="23"/>
      <c r="U214" s="27" t="str">
        <f>財産管理!K216</f>
        <v/>
      </c>
    </row>
    <row r="215" spans="19:21">
      <c r="S215" s="19"/>
      <c r="T215" s="23"/>
      <c r="U215" s="27" t="str">
        <f>財産管理!K217</f>
        <v/>
      </c>
    </row>
    <row r="216" spans="19:21">
      <c r="S216" s="19"/>
      <c r="T216" s="23"/>
      <c r="U216" s="27" t="str">
        <f>財産管理!K218</f>
        <v/>
      </c>
    </row>
    <row r="217" spans="19:21">
      <c r="S217" s="19"/>
      <c r="T217" s="23"/>
      <c r="U217" s="27" t="str">
        <f>財産管理!K219</f>
        <v/>
      </c>
    </row>
    <row r="218" spans="19:21">
      <c r="S218" s="19"/>
      <c r="T218" s="23"/>
      <c r="U218" s="15" t="str">
        <f>財産管理!K220</f>
        <v/>
      </c>
    </row>
    <row r="219" spans="19:21">
      <c r="S219" s="19"/>
      <c r="T219" s="23"/>
      <c r="U219" s="27" t="str">
        <f>財産管理!K221</f>
        <v/>
      </c>
    </row>
    <row r="220" spans="19:21">
      <c r="S220" s="19"/>
      <c r="T220" s="23"/>
      <c r="U220" s="27" t="str">
        <f>財産管理!K222</f>
        <v/>
      </c>
    </row>
    <row r="221" spans="19:21">
      <c r="S221" s="19"/>
      <c r="T221" s="23"/>
      <c r="U221" s="27" t="str">
        <f>財産管理!K223</f>
        <v/>
      </c>
    </row>
    <row r="222" spans="19:21">
      <c r="S222" s="19"/>
      <c r="T222" s="23"/>
      <c r="U222" s="27" t="str">
        <f>財産管理!K224</f>
        <v/>
      </c>
    </row>
    <row r="223" spans="19:21">
      <c r="S223" s="19"/>
      <c r="T223" s="23"/>
      <c r="U223" s="15" t="str">
        <f>財産管理!K225</f>
        <v/>
      </c>
    </row>
    <row r="224" spans="19:21">
      <c r="S224" s="19"/>
      <c r="T224" s="23"/>
      <c r="U224" s="27" t="str">
        <f>財産管理!K226</f>
        <v/>
      </c>
    </row>
    <row r="225" spans="19:21">
      <c r="S225" s="19"/>
      <c r="T225" s="23"/>
      <c r="U225" s="27" t="str">
        <f>財産管理!K227</f>
        <v/>
      </c>
    </row>
    <row r="226" spans="19:21">
      <c r="S226" s="19"/>
      <c r="T226" s="23"/>
      <c r="U226" s="27" t="str">
        <f>財産管理!K228</f>
        <v/>
      </c>
    </row>
    <row r="227" spans="19:21">
      <c r="S227" s="19"/>
      <c r="T227" s="23"/>
      <c r="U227" s="27" t="str">
        <f>財産管理!K229</f>
        <v/>
      </c>
    </row>
    <row r="228" spans="19:21">
      <c r="S228" s="19"/>
      <c r="T228" s="23"/>
      <c r="U228" s="15" t="str">
        <f>財産管理!K230</f>
        <v/>
      </c>
    </row>
    <row r="229" spans="19:21">
      <c r="S229" s="19"/>
      <c r="T229" s="23"/>
      <c r="U229" s="27" t="str">
        <f>財産管理!K231</f>
        <v/>
      </c>
    </row>
    <row r="230" spans="19:21">
      <c r="S230" s="19"/>
      <c r="T230" s="23"/>
      <c r="U230" s="27" t="str">
        <f>財産管理!K232</f>
        <v/>
      </c>
    </row>
    <row r="231" spans="19:21">
      <c r="S231" s="19"/>
      <c r="T231" s="23"/>
      <c r="U231" s="27" t="str">
        <f>財産管理!K233</f>
        <v/>
      </c>
    </row>
    <row r="232" spans="19:21">
      <c r="S232" s="19"/>
      <c r="T232" s="23"/>
      <c r="U232" s="27" t="str">
        <f>財産管理!K234</f>
        <v/>
      </c>
    </row>
    <row r="233" spans="19:21">
      <c r="S233" s="19"/>
      <c r="T233" s="23"/>
      <c r="U233" s="15" t="str">
        <f>財産管理!K235</f>
        <v/>
      </c>
    </row>
    <row r="234" spans="19:21">
      <c r="S234" s="19"/>
      <c r="T234" s="23"/>
      <c r="U234" s="27" t="str">
        <f>財産管理!K236</f>
        <v/>
      </c>
    </row>
    <row r="235" spans="19:21">
      <c r="S235" s="19"/>
      <c r="T235" s="23"/>
      <c r="U235" s="27" t="str">
        <f>財産管理!K237</f>
        <v/>
      </c>
    </row>
    <row r="236" spans="19:21">
      <c r="S236" s="19"/>
      <c r="T236" s="23"/>
      <c r="U236" s="27" t="str">
        <f>財産管理!K238</f>
        <v/>
      </c>
    </row>
    <row r="237" spans="19:21">
      <c r="S237" s="19"/>
      <c r="T237" s="23"/>
      <c r="U237" s="27" t="str">
        <f>財産管理!K239</f>
        <v/>
      </c>
    </row>
    <row r="238" spans="19:21">
      <c r="S238" s="19"/>
      <c r="T238" s="23"/>
      <c r="U238" s="15" t="str">
        <f>財産管理!K240</f>
        <v/>
      </c>
    </row>
    <row r="239" spans="19:21">
      <c r="S239" s="19"/>
      <c r="T239" s="23"/>
      <c r="U239" s="27" t="str">
        <f>財産管理!K241</f>
        <v/>
      </c>
    </row>
    <row r="240" spans="19:21">
      <c r="S240" s="19"/>
      <c r="T240" s="23"/>
      <c r="U240" s="27" t="str">
        <f>財産管理!K242</f>
        <v/>
      </c>
    </row>
    <row r="241" spans="19:21">
      <c r="S241" s="19"/>
      <c r="T241" s="23"/>
      <c r="U241" s="27" t="str">
        <f>財産管理!K243</f>
        <v/>
      </c>
    </row>
    <row r="242" spans="19:21">
      <c r="S242" s="19"/>
      <c r="T242" s="23"/>
      <c r="U242" s="27" t="str">
        <f>財産管理!K244</f>
        <v/>
      </c>
    </row>
    <row r="243" spans="19:21">
      <c r="S243" s="19"/>
      <c r="T243" s="23"/>
      <c r="U243" s="15" t="str">
        <f>財産管理!K245</f>
        <v/>
      </c>
    </row>
    <row r="244" spans="19:21">
      <c r="S244" s="19"/>
      <c r="T244" s="23"/>
      <c r="U244" s="27" t="str">
        <f>財産管理!K246</f>
        <v/>
      </c>
    </row>
    <row r="245" spans="19:21">
      <c r="S245" s="19"/>
      <c r="T245" s="23"/>
      <c r="U245" s="27" t="str">
        <f>財産管理!K247</f>
        <v/>
      </c>
    </row>
    <row r="246" spans="19:21">
      <c r="S246" s="19"/>
      <c r="T246" s="23"/>
      <c r="U246" s="27" t="str">
        <f>財産管理!K248</f>
        <v/>
      </c>
    </row>
    <row r="247" spans="19:21">
      <c r="S247" s="19"/>
      <c r="T247" s="23"/>
      <c r="U247" s="27" t="str">
        <f>財産管理!K249</f>
        <v/>
      </c>
    </row>
    <row r="248" spans="19:21">
      <c r="S248" s="19"/>
      <c r="T248" s="23"/>
      <c r="U248" s="15" t="str">
        <f>財産管理!K250</f>
        <v/>
      </c>
    </row>
    <row r="249" spans="19:21">
      <c r="S249" s="19"/>
      <c r="T249" s="23"/>
      <c r="U249" s="27" t="str">
        <f>財産管理!K251</f>
        <v/>
      </c>
    </row>
    <row r="250" spans="19:21">
      <c r="S250" s="19"/>
      <c r="T250" s="23"/>
      <c r="U250" s="27" t="str">
        <f>財産管理!K252</f>
        <v/>
      </c>
    </row>
    <row r="251" spans="19:21">
      <c r="S251" s="19"/>
      <c r="T251" s="23"/>
      <c r="U251" s="27" t="str">
        <f>財産管理!K253</f>
        <v/>
      </c>
    </row>
    <row r="252" spans="19:21">
      <c r="S252" s="19"/>
      <c r="T252" s="23"/>
      <c r="U252" s="27" t="str">
        <f>財産管理!K254</f>
        <v/>
      </c>
    </row>
    <row r="253" spans="19:21">
      <c r="S253" s="19"/>
      <c r="T253" s="23"/>
      <c r="U253" s="15" t="str">
        <f>財産管理!K255</f>
        <v/>
      </c>
    </row>
    <row r="254" spans="19:21">
      <c r="S254" s="19"/>
      <c r="T254" s="23"/>
      <c r="U254" s="27" t="str">
        <f>財産管理!K256</f>
        <v/>
      </c>
    </row>
    <row r="255" spans="19:21">
      <c r="S255" s="19"/>
      <c r="T255" s="23"/>
      <c r="U255" s="27" t="str">
        <f>財産管理!K257</f>
        <v/>
      </c>
    </row>
    <row r="256" spans="19:21">
      <c r="S256" s="19"/>
      <c r="T256" s="23"/>
      <c r="U256" s="27" t="str">
        <f>財産管理!K258</f>
        <v/>
      </c>
    </row>
    <row r="257" spans="19:21">
      <c r="S257" s="19"/>
      <c r="T257" s="23"/>
      <c r="U257" s="27" t="str">
        <f>財産管理!K259</f>
        <v/>
      </c>
    </row>
    <row r="258" spans="19:21">
      <c r="S258" s="19"/>
      <c r="T258" s="23"/>
      <c r="U258" s="15" t="str">
        <f>財産管理!K260</f>
        <v/>
      </c>
    </row>
    <row r="259" spans="19:21">
      <c r="S259" s="19"/>
      <c r="T259" s="23"/>
      <c r="U259" s="27" t="str">
        <f>財産管理!K261</f>
        <v/>
      </c>
    </row>
    <row r="260" spans="19:21">
      <c r="S260" s="19"/>
      <c r="T260" s="23"/>
      <c r="U260" s="27" t="str">
        <f>財産管理!K262</f>
        <v/>
      </c>
    </row>
    <row r="261" spans="19:21">
      <c r="S261" s="19"/>
      <c r="T261" s="23"/>
      <c r="U261" s="27" t="str">
        <f>財産管理!K263</f>
        <v/>
      </c>
    </row>
    <row r="262" spans="19:21">
      <c r="S262" s="19"/>
      <c r="T262" s="23"/>
      <c r="U262" s="27" t="str">
        <f>財産管理!K264</f>
        <v/>
      </c>
    </row>
    <row r="263" spans="19:21">
      <c r="S263" s="19"/>
      <c r="T263" s="23"/>
      <c r="U263" s="15" t="str">
        <f>財産管理!K265</f>
        <v/>
      </c>
    </row>
    <row r="264" spans="19:21">
      <c r="S264" s="19"/>
      <c r="T264" s="23"/>
      <c r="U264" s="27" t="str">
        <f>財産管理!K266</f>
        <v/>
      </c>
    </row>
    <row r="265" spans="19:21">
      <c r="S265" s="19"/>
      <c r="T265" s="23"/>
      <c r="U265" s="27" t="str">
        <f>財産管理!K267</f>
        <v/>
      </c>
    </row>
    <row r="266" spans="19:21">
      <c r="S266" s="19"/>
      <c r="T266" s="23"/>
      <c r="U266" s="27" t="str">
        <f>財産管理!K268</f>
        <v/>
      </c>
    </row>
    <row r="267" spans="19:21">
      <c r="S267" s="19"/>
      <c r="T267" s="23"/>
      <c r="U267" s="27" t="str">
        <f>財産管理!K269</f>
        <v/>
      </c>
    </row>
    <row r="268" spans="19:21">
      <c r="S268" s="19"/>
      <c r="T268" s="23"/>
      <c r="U268" s="15" t="str">
        <f>財産管理!K270</f>
        <v/>
      </c>
    </row>
    <row r="269" spans="19:21">
      <c r="S269" s="19"/>
      <c r="T269" s="23"/>
      <c r="U269" s="27" t="str">
        <f>財産管理!K271</f>
        <v/>
      </c>
    </row>
    <row r="270" spans="19:21">
      <c r="S270" s="19"/>
      <c r="T270" s="23"/>
      <c r="U270" s="27" t="str">
        <f>財産管理!K272</f>
        <v/>
      </c>
    </row>
    <row r="271" spans="19:21">
      <c r="S271" s="19"/>
      <c r="T271" s="23"/>
      <c r="U271" s="27" t="str">
        <f>財産管理!K273</f>
        <v/>
      </c>
    </row>
    <row r="272" spans="19:21">
      <c r="S272" s="19"/>
      <c r="T272" s="23"/>
      <c r="U272" s="27" t="str">
        <f>財産管理!K274</f>
        <v/>
      </c>
    </row>
    <row r="273" spans="19:21">
      <c r="S273" s="19"/>
      <c r="T273" s="23"/>
      <c r="U273" s="15" t="str">
        <f>財産管理!K275</f>
        <v/>
      </c>
    </row>
    <row r="274" spans="19:21">
      <c r="S274" s="19"/>
      <c r="T274" s="23"/>
      <c r="U274" s="27" t="str">
        <f>財産管理!K276</f>
        <v/>
      </c>
    </row>
    <row r="275" spans="19:21">
      <c r="S275" s="19"/>
      <c r="T275" s="23"/>
      <c r="U275" s="27" t="str">
        <f>財産管理!K277</f>
        <v/>
      </c>
    </row>
    <row r="276" spans="19:21">
      <c r="S276" s="19"/>
      <c r="T276" s="23"/>
      <c r="U276" s="27" t="str">
        <f>財産管理!K278</f>
        <v/>
      </c>
    </row>
    <row r="277" spans="19:21">
      <c r="S277" s="19"/>
      <c r="T277" s="23"/>
      <c r="U277" s="27" t="str">
        <f>財産管理!K279</f>
        <v/>
      </c>
    </row>
    <row r="278" spans="19:21">
      <c r="S278" s="19"/>
      <c r="T278" s="23"/>
      <c r="U278" s="15" t="str">
        <f>財産管理!K280</f>
        <v/>
      </c>
    </row>
    <row r="279" spans="19:21">
      <c r="S279" s="19"/>
      <c r="T279" s="23"/>
      <c r="U279" s="27" t="str">
        <f>財産管理!K281</f>
        <v/>
      </c>
    </row>
    <row r="280" spans="19:21">
      <c r="S280" s="19"/>
      <c r="T280" s="23"/>
      <c r="U280" s="27" t="str">
        <f>財産管理!K282</f>
        <v/>
      </c>
    </row>
    <row r="281" spans="19:21">
      <c r="S281" s="19"/>
      <c r="T281" s="23"/>
      <c r="U281" s="27" t="str">
        <f>財産管理!K283</f>
        <v/>
      </c>
    </row>
    <row r="282" spans="19:21">
      <c r="S282" s="19"/>
      <c r="T282" s="23"/>
      <c r="U282" s="27" t="str">
        <f>財産管理!K284</f>
        <v/>
      </c>
    </row>
    <row r="283" spans="19:21">
      <c r="S283" s="19"/>
      <c r="T283" s="23"/>
      <c r="U283" s="15" t="str">
        <f>財産管理!K285</f>
        <v/>
      </c>
    </row>
    <row r="284" spans="19:21">
      <c r="S284" s="19"/>
      <c r="T284" s="23"/>
      <c r="U284" s="27" t="str">
        <f>財産管理!K286</f>
        <v/>
      </c>
    </row>
    <row r="285" spans="19:21">
      <c r="S285" s="19"/>
      <c r="T285" s="23"/>
      <c r="U285" s="27" t="str">
        <f>財産管理!K287</f>
        <v/>
      </c>
    </row>
    <row r="286" spans="19:21">
      <c r="S286" s="19"/>
      <c r="T286" s="23"/>
      <c r="U286" s="27" t="str">
        <f>財産管理!K288</f>
        <v/>
      </c>
    </row>
    <row r="287" spans="19:21">
      <c r="S287" s="19"/>
      <c r="T287" s="23"/>
      <c r="U287" s="27" t="str">
        <f>財産管理!K289</f>
        <v/>
      </c>
    </row>
    <row r="288" spans="19:21">
      <c r="S288" s="19"/>
      <c r="T288" s="23"/>
      <c r="U288" s="15" t="str">
        <f>財産管理!K290</f>
        <v/>
      </c>
    </row>
    <row r="289" spans="19:21">
      <c r="S289" s="19"/>
      <c r="T289" s="23"/>
      <c r="U289" s="27" t="str">
        <f>財産管理!K291</f>
        <v/>
      </c>
    </row>
    <row r="290" spans="19:21">
      <c r="S290" s="19"/>
      <c r="T290" s="23"/>
      <c r="U290" s="27" t="str">
        <f>財産管理!K292</f>
        <v/>
      </c>
    </row>
    <row r="291" spans="19:21">
      <c r="S291" s="19"/>
      <c r="T291" s="23"/>
      <c r="U291" s="27" t="str">
        <f>財産管理!K293</f>
        <v/>
      </c>
    </row>
    <row r="292" spans="19:21">
      <c r="S292" s="19"/>
      <c r="T292" s="23"/>
      <c r="U292" s="27" t="str">
        <f>財産管理!K294</f>
        <v/>
      </c>
    </row>
    <row r="293" spans="19:21">
      <c r="S293" s="19"/>
      <c r="T293" s="23"/>
      <c r="U293" s="15" t="str">
        <f>財産管理!K295</f>
        <v/>
      </c>
    </row>
    <row r="294" spans="19:21">
      <c r="S294" s="19"/>
      <c r="T294" s="23"/>
      <c r="U294" s="27" t="str">
        <f>財産管理!K296</f>
        <v/>
      </c>
    </row>
    <row r="295" spans="19:21">
      <c r="S295" s="19"/>
      <c r="T295" s="23"/>
      <c r="U295" s="27" t="str">
        <f>財産管理!K297</f>
        <v/>
      </c>
    </row>
    <row r="296" spans="19:21">
      <c r="S296" s="19"/>
      <c r="T296" s="23"/>
      <c r="U296" s="27" t="str">
        <f>財産管理!K298</f>
        <v/>
      </c>
    </row>
    <row r="297" spans="19:21">
      <c r="S297" s="19"/>
      <c r="T297" s="23"/>
      <c r="U297" s="27" t="str">
        <f>財産管理!K299</f>
        <v/>
      </c>
    </row>
    <row r="298" spans="19:21">
      <c r="S298" s="19"/>
      <c r="T298" s="23"/>
      <c r="U298" s="15" t="str">
        <f>財産管理!K300</f>
        <v/>
      </c>
    </row>
    <row r="299" spans="19:21">
      <c r="S299" s="19"/>
      <c r="T299" s="23"/>
      <c r="U299" s="27" t="str">
        <f>財産管理!K301</f>
        <v/>
      </c>
    </row>
    <row r="300" spans="19:21">
      <c r="S300" s="19"/>
      <c r="T300" s="23"/>
      <c r="U300" s="27" t="str">
        <f>財産管理!K302</f>
        <v/>
      </c>
    </row>
    <row r="301" spans="19:21">
      <c r="S301" s="19"/>
      <c r="T301" s="23"/>
      <c r="U301" s="27" t="str">
        <f>財産管理!K303</f>
        <v/>
      </c>
    </row>
    <row r="302" spans="19:21">
      <c r="S302" s="19"/>
      <c r="T302" s="23"/>
      <c r="U302" s="27" t="str">
        <f>財産管理!K304</f>
        <v/>
      </c>
    </row>
    <row r="303" spans="19:21">
      <c r="S303" s="19"/>
      <c r="T303" s="23"/>
      <c r="U303" s="15" t="str">
        <f>財産管理!K305</f>
        <v/>
      </c>
    </row>
    <row r="304" spans="19:21">
      <c r="S304" s="19"/>
      <c r="T304" s="23"/>
      <c r="U304" s="27" t="str">
        <f>財産管理!K306</f>
        <v/>
      </c>
    </row>
    <row r="305" spans="19:21">
      <c r="S305" s="19"/>
      <c r="T305" s="23"/>
      <c r="U305" s="27" t="str">
        <f>財産管理!K307</f>
        <v/>
      </c>
    </row>
    <row r="306" spans="19:21">
      <c r="S306" s="19"/>
      <c r="T306" s="23"/>
      <c r="U306" s="27" t="str">
        <f>財産管理!K308</f>
        <v/>
      </c>
    </row>
    <row r="307" spans="19:21">
      <c r="S307" s="19"/>
      <c r="T307" s="23"/>
      <c r="U307" s="27" t="str">
        <f>財産管理!K309</f>
        <v/>
      </c>
    </row>
    <row r="308" spans="19:21">
      <c r="S308" s="19"/>
      <c r="T308" s="23"/>
      <c r="U308" s="15" t="str">
        <f>財産管理!K310</f>
        <v/>
      </c>
    </row>
    <row r="309" spans="19:21">
      <c r="S309" s="19"/>
      <c r="T309" s="23"/>
      <c r="U309" s="27" t="str">
        <f>財産管理!K311</f>
        <v/>
      </c>
    </row>
    <row r="310" spans="19:21">
      <c r="S310" s="19"/>
      <c r="T310" s="23"/>
      <c r="U310" s="27" t="str">
        <f>財産管理!K312</f>
        <v/>
      </c>
    </row>
    <row r="311" spans="19:21">
      <c r="S311" s="19"/>
      <c r="T311" s="23"/>
      <c r="U311" s="27" t="str">
        <f>財産管理!K313</f>
        <v/>
      </c>
    </row>
    <row r="312" spans="19:21">
      <c r="S312" s="19"/>
      <c r="T312" s="23"/>
      <c r="U312" s="27" t="str">
        <f>財産管理!K314</f>
        <v/>
      </c>
    </row>
    <row r="313" spans="19:21">
      <c r="S313" s="19"/>
      <c r="T313" s="23"/>
      <c r="U313" s="15" t="str">
        <f>財産管理!K315</f>
        <v/>
      </c>
    </row>
    <row r="314" spans="19:21">
      <c r="S314" s="19"/>
      <c r="T314" s="23"/>
      <c r="U314" s="27" t="str">
        <f>財産管理!K316</f>
        <v/>
      </c>
    </row>
    <row r="315" spans="19:21">
      <c r="S315" s="19"/>
      <c r="T315" s="23"/>
      <c r="U315" s="27" t="str">
        <f>財産管理!K317</f>
        <v/>
      </c>
    </row>
    <row r="316" spans="19:21">
      <c r="S316" s="19"/>
      <c r="T316" s="23"/>
      <c r="U316" s="27" t="str">
        <f>財産管理!K318</f>
        <v/>
      </c>
    </row>
    <row r="317" spans="19:21">
      <c r="S317" s="19"/>
      <c r="T317" s="23"/>
      <c r="U317" s="27" t="str">
        <f>財産管理!K319</f>
        <v/>
      </c>
    </row>
    <row r="318" spans="19:21">
      <c r="S318" s="19"/>
      <c r="T318" s="23"/>
      <c r="U318" s="15" t="str">
        <f>財産管理!K320</f>
        <v/>
      </c>
    </row>
    <row r="319" spans="19:21">
      <c r="S319" s="19"/>
      <c r="T319" s="23"/>
      <c r="U319" s="27" t="str">
        <f>財産管理!K321</f>
        <v/>
      </c>
    </row>
    <row r="320" spans="19:21">
      <c r="S320" s="19"/>
      <c r="T320" s="23"/>
      <c r="U320" s="27" t="str">
        <f>財産管理!K322</f>
        <v/>
      </c>
    </row>
    <row r="321" spans="19:21">
      <c r="S321" s="19"/>
      <c r="T321" s="23"/>
      <c r="U321" s="27" t="str">
        <f>財産管理!K323</f>
        <v/>
      </c>
    </row>
    <row r="322" spans="19:21">
      <c r="S322" s="19"/>
      <c r="T322" s="23"/>
      <c r="U322" s="27" t="str">
        <f>財産管理!K324</f>
        <v/>
      </c>
    </row>
    <row r="323" spans="19:21">
      <c r="S323" s="19"/>
      <c r="T323" s="23"/>
      <c r="U323" s="15" t="str">
        <f>財産管理!K325</f>
        <v/>
      </c>
    </row>
    <row r="324" spans="19:21">
      <c r="S324" s="19"/>
      <c r="T324" s="23"/>
      <c r="U324" s="27" t="str">
        <f>財産管理!K326</f>
        <v/>
      </c>
    </row>
    <row r="325" spans="19:21">
      <c r="S325" s="19"/>
      <c r="T325" s="23"/>
      <c r="U325" s="27" t="str">
        <f>財産管理!K327</f>
        <v/>
      </c>
    </row>
    <row r="326" spans="19:21">
      <c r="S326" s="19"/>
      <c r="T326" s="23"/>
      <c r="U326" s="27" t="str">
        <f>財産管理!K328</f>
        <v/>
      </c>
    </row>
    <row r="327" spans="19:21">
      <c r="S327" s="19"/>
      <c r="T327" s="23"/>
      <c r="U327" s="27" t="str">
        <f>財産管理!K329</f>
        <v/>
      </c>
    </row>
    <row r="328" spans="19:21">
      <c r="S328" s="19"/>
      <c r="T328" s="23"/>
      <c r="U328" s="15" t="str">
        <f>財産管理!K330</f>
        <v/>
      </c>
    </row>
    <row r="329" spans="19:21">
      <c r="S329" s="19"/>
      <c r="T329" s="23"/>
      <c r="U329" s="27" t="str">
        <f>財産管理!K331</f>
        <v/>
      </c>
    </row>
    <row r="330" spans="19:21">
      <c r="S330" s="19"/>
      <c r="T330" s="23"/>
      <c r="U330" s="27" t="str">
        <f>財産管理!K332</f>
        <v/>
      </c>
    </row>
    <row r="331" spans="19:21">
      <c r="S331" s="19"/>
      <c r="T331" s="23"/>
      <c r="U331" s="27" t="str">
        <f>財産管理!K333</f>
        <v/>
      </c>
    </row>
    <row r="332" spans="19:21">
      <c r="S332" s="19"/>
      <c r="T332" s="23"/>
      <c r="U332" s="27" t="str">
        <f>財産管理!K334</f>
        <v/>
      </c>
    </row>
    <row r="333" spans="19:21">
      <c r="S333" s="19"/>
      <c r="T333" s="23"/>
      <c r="U333" s="15" t="str">
        <f>財産管理!K335</f>
        <v/>
      </c>
    </row>
    <row r="334" spans="19:21">
      <c r="S334" s="19"/>
      <c r="T334" s="23"/>
      <c r="U334" s="27" t="str">
        <f>財産管理!K336</f>
        <v/>
      </c>
    </row>
    <row r="335" spans="19:21">
      <c r="S335" s="19"/>
      <c r="T335" s="23"/>
      <c r="U335" s="27" t="str">
        <f>財産管理!K337</f>
        <v/>
      </c>
    </row>
    <row r="336" spans="19:21">
      <c r="S336" s="19"/>
      <c r="T336" s="23"/>
      <c r="U336" s="27" t="str">
        <f>財産管理!K338</f>
        <v/>
      </c>
    </row>
    <row r="337" spans="19:21">
      <c r="S337" s="19"/>
      <c r="T337" s="23"/>
      <c r="U337" s="27" t="str">
        <f>財産管理!K339</f>
        <v/>
      </c>
    </row>
    <row r="338" spans="19:21">
      <c r="S338" s="19"/>
      <c r="T338" s="23"/>
      <c r="U338" s="15" t="str">
        <f>財産管理!K340</f>
        <v/>
      </c>
    </row>
    <row r="339" spans="19:21">
      <c r="S339" s="19"/>
      <c r="T339" s="23"/>
      <c r="U339" s="27" t="str">
        <f>財産管理!K341</f>
        <v/>
      </c>
    </row>
    <row r="340" spans="19:21">
      <c r="S340" s="19"/>
      <c r="T340" s="23"/>
      <c r="U340" s="27" t="str">
        <f>財産管理!K342</f>
        <v/>
      </c>
    </row>
    <row r="341" spans="19:21">
      <c r="S341" s="19"/>
      <c r="T341" s="23"/>
      <c r="U341" s="27" t="str">
        <f>財産管理!K343</f>
        <v/>
      </c>
    </row>
    <row r="342" spans="19:21">
      <c r="S342" s="19"/>
      <c r="T342" s="23"/>
      <c r="U342" s="27" t="str">
        <f>財産管理!K344</f>
        <v/>
      </c>
    </row>
    <row r="343" spans="19:21">
      <c r="S343" s="19"/>
      <c r="T343" s="23"/>
      <c r="U343" s="15" t="str">
        <f>財産管理!K345</f>
        <v/>
      </c>
    </row>
    <row r="344" spans="19:21">
      <c r="S344" s="19"/>
      <c r="T344" s="23"/>
      <c r="U344" s="27" t="str">
        <f>財産管理!K346</f>
        <v/>
      </c>
    </row>
    <row r="345" spans="19:21">
      <c r="S345" s="19"/>
      <c r="T345" s="23"/>
      <c r="U345" s="27" t="str">
        <f>財産管理!K347</f>
        <v/>
      </c>
    </row>
    <row r="346" spans="19:21">
      <c r="S346" s="19"/>
      <c r="T346" s="23"/>
      <c r="U346" s="27" t="str">
        <f>財産管理!K348</f>
        <v/>
      </c>
    </row>
    <row r="347" spans="19:21">
      <c r="S347" s="19"/>
      <c r="T347" s="23"/>
      <c r="U347" s="27" t="str">
        <f>財産管理!K349</f>
        <v/>
      </c>
    </row>
    <row r="348" spans="19:21">
      <c r="S348" s="19"/>
      <c r="T348" s="23"/>
      <c r="U348" s="15" t="str">
        <f>財産管理!K350</f>
        <v/>
      </c>
    </row>
    <row r="349" spans="19:21">
      <c r="S349" s="19"/>
      <c r="T349" s="23"/>
      <c r="U349" s="27" t="str">
        <f>財産管理!K351</f>
        <v/>
      </c>
    </row>
    <row r="350" spans="19:21">
      <c r="S350" s="19"/>
      <c r="T350" s="23"/>
      <c r="U350" s="27" t="str">
        <f>財産管理!K352</f>
        <v/>
      </c>
    </row>
    <row r="351" spans="19:21">
      <c r="S351" s="19"/>
      <c r="T351" s="23"/>
      <c r="U351" s="27" t="str">
        <f>財産管理!K353</f>
        <v/>
      </c>
    </row>
    <row r="352" spans="19:21">
      <c r="S352" s="19"/>
      <c r="T352" s="23"/>
      <c r="U352" s="27" t="str">
        <f>財産管理!K354</f>
        <v/>
      </c>
    </row>
    <row r="353" spans="19:21">
      <c r="S353" s="19"/>
      <c r="T353" s="23"/>
      <c r="U353" s="15" t="str">
        <f>財産管理!K355</f>
        <v/>
      </c>
    </row>
    <row r="354" spans="19:21">
      <c r="S354" s="19"/>
      <c r="T354" s="23"/>
      <c r="U354" s="27" t="str">
        <f>財産管理!K356</f>
        <v/>
      </c>
    </row>
    <row r="355" spans="19:21">
      <c r="S355" s="19"/>
      <c r="T355" s="23"/>
      <c r="U355" s="27" t="str">
        <f>財産管理!K357</f>
        <v/>
      </c>
    </row>
    <row r="356" spans="19:21">
      <c r="S356" s="19"/>
      <c r="T356" s="23"/>
      <c r="U356" s="27" t="str">
        <f>財産管理!K358</f>
        <v/>
      </c>
    </row>
    <row r="357" spans="19:21">
      <c r="S357" s="19"/>
      <c r="T357" s="23"/>
      <c r="U357" s="27" t="str">
        <f>財産管理!K359</f>
        <v/>
      </c>
    </row>
    <row r="358" spans="19:21">
      <c r="S358" s="19"/>
      <c r="T358" s="23"/>
      <c r="U358" s="15" t="str">
        <f>財産管理!K360</f>
        <v/>
      </c>
    </row>
    <row r="359" spans="19:21">
      <c r="S359" s="19"/>
      <c r="T359" s="23"/>
      <c r="U359" s="27" t="str">
        <f>財産管理!K361</f>
        <v/>
      </c>
    </row>
    <row r="360" spans="19:21">
      <c r="S360" s="19"/>
      <c r="T360" s="23"/>
      <c r="U360" s="27" t="str">
        <f>財産管理!K362</f>
        <v/>
      </c>
    </row>
    <row r="361" spans="19:21">
      <c r="S361" s="19"/>
      <c r="T361" s="23"/>
      <c r="U361" s="27" t="str">
        <f>財産管理!K363</f>
        <v/>
      </c>
    </row>
    <row r="362" spans="19:21">
      <c r="S362" s="19"/>
      <c r="T362" s="23"/>
      <c r="U362" s="27" t="str">
        <f>財産管理!K364</f>
        <v/>
      </c>
    </row>
    <row r="363" spans="19:21">
      <c r="S363" s="19"/>
      <c r="T363" s="23"/>
      <c r="U363" s="15" t="str">
        <f>財産管理!K365</f>
        <v/>
      </c>
    </row>
    <row r="364" spans="19:21">
      <c r="S364" s="19"/>
      <c r="T364" s="23"/>
      <c r="U364" s="27" t="str">
        <f>財産管理!K366</f>
        <v/>
      </c>
    </row>
    <row r="365" spans="19:21">
      <c r="S365" s="19"/>
      <c r="T365" s="23"/>
      <c r="U365" s="27" t="str">
        <f>財産管理!K367</f>
        <v/>
      </c>
    </row>
    <row r="366" spans="19:21">
      <c r="S366" s="19"/>
      <c r="T366" s="23"/>
      <c r="U366" s="27" t="str">
        <f>財産管理!K368</f>
        <v/>
      </c>
    </row>
    <row r="367" spans="19:21">
      <c r="S367" s="19"/>
      <c r="T367" s="23"/>
      <c r="U367" s="27" t="str">
        <f>財産管理!K369</f>
        <v/>
      </c>
    </row>
    <row r="368" spans="19:21">
      <c r="S368" s="19"/>
      <c r="T368" s="23"/>
      <c r="U368" s="15" t="str">
        <f>財産管理!K370</f>
        <v/>
      </c>
    </row>
    <row r="369" spans="19:21">
      <c r="S369" s="19"/>
      <c r="T369" s="23"/>
      <c r="U369" s="27" t="str">
        <f>財産管理!K371</f>
        <v/>
      </c>
    </row>
    <row r="370" spans="19:21">
      <c r="S370" s="19"/>
      <c r="T370" s="23"/>
      <c r="U370" s="27" t="str">
        <f>財産管理!K372</f>
        <v/>
      </c>
    </row>
    <row r="371" spans="19:21">
      <c r="S371" s="19"/>
      <c r="T371" s="23"/>
      <c r="U371" s="27" t="str">
        <f>財産管理!K373</f>
        <v/>
      </c>
    </row>
    <row r="372" spans="19:21">
      <c r="S372" s="19"/>
      <c r="T372" s="23"/>
      <c r="U372" s="27" t="str">
        <f>財産管理!K374</f>
        <v/>
      </c>
    </row>
    <row r="373" spans="19:21">
      <c r="S373" s="19"/>
      <c r="T373" s="23"/>
      <c r="U373" s="15" t="str">
        <f>財産管理!K375</f>
        <v/>
      </c>
    </row>
    <row r="374" spans="19:21">
      <c r="S374" s="19"/>
      <c r="T374" s="23"/>
      <c r="U374" s="27" t="str">
        <f>財産管理!K376</f>
        <v/>
      </c>
    </row>
    <row r="375" spans="19:21">
      <c r="S375" s="19"/>
      <c r="T375" s="23"/>
      <c r="U375" s="27" t="str">
        <f>財産管理!K377</f>
        <v/>
      </c>
    </row>
    <row r="376" spans="19:21">
      <c r="S376" s="19"/>
      <c r="T376" s="23"/>
      <c r="U376" s="27" t="str">
        <f>財産管理!K378</f>
        <v/>
      </c>
    </row>
    <row r="377" spans="19:21">
      <c r="S377" s="19"/>
      <c r="T377" s="23"/>
      <c r="U377" s="27" t="str">
        <f>財産管理!K379</f>
        <v/>
      </c>
    </row>
    <row r="378" spans="19:21">
      <c r="S378" s="19"/>
      <c r="T378" s="23"/>
      <c r="U378" s="15" t="str">
        <f>財産管理!K380</f>
        <v/>
      </c>
    </row>
    <row r="379" spans="19:21">
      <c r="S379" s="19"/>
      <c r="T379" s="23"/>
      <c r="U379" s="27" t="str">
        <f>財産管理!K381</f>
        <v/>
      </c>
    </row>
    <row r="380" spans="19:21">
      <c r="S380" s="19"/>
      <c r="T380" s="23"/>
      <c r="U380" s="27" t="str">
        <f>財産管理!K382</f>
        <v/>
      </c>
    </row>
    <row r="381" spans="19:21">
      <c r="S381" s="19"/>
      <c r="T381" s="23"/>
      <c r="U381" s="27" t="str">
        <f>財産管理!K383</f>
        <v/>
      </c>
    </row>
    <row r="382" spans="19:21">
      <c r="S382" s="19"/>
      <c r="T382" s="23"/>
      <c r="U382" s="27" t="str">
        <f>財産管理!K384</f>
        <v/>
      </c>
    </row>
    <row r="383" spans="19:21">
      <c r="S383" s="19"/>
      <c r="T383" s="23"/>
      <c r="U383" s="15" t="str">
        <f>財産管理!K385</f>
        <v/>
      </c>
    </row>
    <row r="384" spans="19:21">
      <c r="S384" s="19"/>
      <c r="T384" s="23"/>
      <c r="U384" s="27" t="str">
        <f>財産管理!K386</f>
        <v/>
      </c>
    </row>
    <row r="385" spans="19:21">
      <c r="S385" s="19"/>
      <c r="T385" s="23"/>
      <c r="U385" s="27" t="str">
        <f>財産管理!K387</f>
        <v/>
      </c>
    </row>
    <row r="386" spans="19:21">
      <c r="S386" s="19"/>
      <c r="T386" s="23"/>
      <c r="U386" s="27" t="str">
        <f>財産管理!K388</f>
        <v/>
      </c>
    </row>
    <row r="387" spans="19:21">
      <c r="S387" s="19"/>
      <c r="T387" s="23"/>
      <c r="U387" s="27" t="str">
        <f>財産管理!K389</f>
        <v/>
      </c>
    </row>
    <row r="388" spans="19:21">
      <c r="S388" s="19"/>
      <c r="T388" s="23"/>
      <c r="U388" s="15" t="str">
        <f>財産管理!K390</f>
        <v/>
      </c>
    </row>
    <row r="389" spans="19:21">
      <c r="S389" s="19"/>
      <c r="T389" s="23"/>
      <c r="U389" s="27" t="str">
        <f>財産管理!K391</f>
        <v/>
      </c>
    </row>
    <row r="390" spans="19:21">
      <c r="S390" s="19"/>
      <c r="T390" s="23"/>
      <c r="U390" s="27" t="str">
        <f>財産管理!K392</f>
        <v/>
      </c>
    </row>
    <row r="391" spans="19:21">
      <c r="S391" s="19"/>
      <c r="T391" s="23"/>
      <c r="U391" s="27" t="str">
        <f>財産管理!K393</f>
        <v/>
      </c>
    </row>
    <row r="392" spans="19:21">
      <c r="S392" s="19"/>
      <c r="T392" s="23"/>
      <c r="U392" s="27" t="str">
        <f>財産管理!K394</f>
        <v/>
      </c>
    </row>
    <row r="393" spans="19:21">
      <c r="S393" s="19"/>
      <c r="T393" s="23"/>
      <c r="U393" s="15" t="str">
        <f>財産管理!K395</f>
        <v/>
      </c>
    </row>
    <row r="394" spans="19:21">
      <c r="S394" s="19"/>
      <c r="T394" s="23"/>
      <c r="U394" s="27" t="str">
        <f>財産管理!K396</f>
        <v/>
      </c>
    </row>
    <row r="395" spans="19:21">
      <c r="S395" s="19"/>
      <c r="T395" s="23"/>
      <c r="U395" s="27" t="str">
        <f>財産管理!K397</f>
        <v/>
      </c>
    </row>
    <row r="396" spans="19:21">
      <c r="S396" s="19"/>
      <c r="T396" s="23"/>
      <c r="U396" s="27" t="str">
        <f>財産管理!K398</f>
        <v/>
      </c>
    </row>
    <row r="397" spans="19:21">
      <c r="S397" s="19"/>
      <c r="T397" s="23"/>
      <c r="U397" s="27" t="str">
        <f>財産管理!K399</f>
        <v/>
      </c>
    </row>
    <row r="398" spans="19:21">
      <c r="S398" s="19"/>
      <c r="T398" s="23"/>
      <c r="U398" s="15" t="str">
        <f>財産管理!K400</f>
        <v/>
      </c>
    </row>
    <row r="399" spans="19:21">
      <c r="S399" s="19"/>
      <c r="T399" s="23"/>
      <c r="U399" s="27" t="str">
        <f>財産管理!K401</f>
        <v/>
      </c>
    </row>
    <row r="400" spans="19:21">
      <c r="S400" s="19"/>
      <c r="T400" s="23"/>
      <c r="U400" s="27" t="str">
        <f>財産管理!K402</f>
        <v/>
      </c>
    </row>
    <row r="401" spans="19:21">
      <c r="S401" s="19"/>
      <c r="T401" s="23"/>
      <c r="U401" s="27" t="str">
        <f>財産管理!K403</f>
        <v/>
      </c>
    </row>
    <row r="402" spans="19:21">
      <c r="S402" s="19"/>
      <c r="T402" s="23"/>
      <c r="U402" s="27" t="str">
        <f>財産管理!K404</f>
        <v/>
      </c>
    </row>
    <row r="403" spans="19:21">
      <c r="S403" s="19"/>
      <c r="T403" s="23"/>
      <c r="U403" s="15" t="str">
        <f>財産管理!K405</f>
        <v/>
      </c>
    </row>
    <row r="404" spans="19:21">
      <c r="S404" s="19"/>
      <c r="T404" s="23"/>
      <c r="U404" s="27" t="str">
        <f>財産管理!K406</f>
        <v/>
      </c>
    </row>
    <row r="405" spans="19:21">
      <c r="S405" s="19"/>
      <c r="T405" s="23"/>
      <c r="U405" s="27" t="str">
        <f>財産管理!K407</f>
        <v/>
      </c>
    </row>
    <row r="406" spans="19:21">
      <c r="S406" s="19"/>
      <c r="T406" s="23"/>
      <c r="U406" s="27" t="str">
        <f>財産管理!K408</f>
        <v/>
      </c>
    </row>
    <row r="407" spans="19:21">
      <c r="S407" s="19"/>
      <c r="T407" s="23"/>
      <c r="U407" s="27" t="str">
        <f>財産管理!K409</f>
        <v/>
      </c>
    </row>
    <row r="408" spans="19:21">
      <c r="S408" s="19"/>
      <c r="T408" s="23"/>
      <c r="U408" s="15" t="str">
        <f>財産管理!K410</f>
        <v/>
      </c>
    </row>
    <row r="409" spans="19:21">
      <c r="S409" s="19"/>
      <c r="T409" s="23"/>
      <c r="U409" s="27" t="str">
        <f>財産管理!K411</f>
        <v/>
      </c>
    </row>
    <row r="410" spans="19:21">
      <c r="S410" s="19"/>
      <c r="T410" s="23"/>
      <c r="U410" s="27" t="str">
        <f>財産管理!K412</f>
        <v/>
      </c>
    </row>
    <row r="411" spans="19:21">
      <c r="S411" s="19"/>
      <c r="T411" s="23"/>
      <c r="U411" s="27" t="str">
        <f>財産管理!K413</f>
        <v/>
      </c>
    </row>
    <row r="412" spans="19:21">
      <c r="S412" s="19"/>
      <c r="T412" s="23"/>
      <c r="U412" s="27" t="str">
        <f>財産管理!K414</f>
        <v/>
      </c>
    </row>
    <row r="413" spans="19:21">
      <c r="S413" s="19"/>
      <c r="T413" s="23"/>
      <c r="U413" s="15" t="str">
        <f>財産管理!K415</f>
        <v/>
      </c>
    </row>
    <row r="414" spans="19:21">
      <c r="S414" s="19"/>
      <c r="T414" s="23"/>
      <c r="U414" s="27" t="str">
        <f>財産管理!K416</f>
        <v/>
      </c>
    </row>
    <row r="415" spans="19:21">
      <c r="S415" s="19"/>
      <c r="T415" s="23"/>
      <c r="U415" s="27" t="str">
        <f>財産管理!K417</f>
        <v/>
      </c>
    </row>
    <row r="416" spans="19:21">
      <c r="S416" s="19"/>
      <c r="T416" s="23"/>
      <c r="U416" s="27" t="str">
        <f>財産管理!K418</f>
        <v/>
      </c>
    </row>
    <row r="417" spans="19:21">
      <c r="S417" s="19"/>
      <c r="T417" s="23"/>
      <c r="U417" s="27" t="str">
        <f>財産管理!K419</f>
        <v/>
      </c>
    </row>
    <row r="418" spans="19:21">
      <c r="S418" s="19"/>
      <c r="T418" s="23"/>
      <c r="U418" s="15" t="str">
        <f>財産管理!K420</f>
        <v/>
      </c>
    </row>
    <row r="419" spans="19:21">
      <c r="S419" s="19"/>
      <c r="T419" s="23"/>
      <c r="U419" s="27" t="str">
        <f>財産管理!K421</f>
        <v/>
      </c>
    </row>
    <row r="420" spans="19:21">
      <c r="S420" s="19"/>
      <c r="T420" s="23"/>
      <c r="U420" s="27" t="str">
        <f>財産管理!K422</f>
        <v/>
      </c>
    </row>
    <row r="421" spans="19:21">
      <c r="S421" s="19"/>
      <c r="T421" s="23"/>
      <c r="U421" s="27" t="str">
        <f>財産管理!K423</f>
        <v/>
      </c>
    </row>
    <row r="422" spans="19:21">
      <c r="S422" s="19"/>
      <c r="T422" s="23"/>
      <c r="U422" s="27" t="str">
        <f>財産管理!K424</f>
        <v/>
      </c>
    </row>
    <row r="423" spans="19:21">
      <c r="S423" s="19"/>
      <c r="T423" s="23"/>
      <c r="U423" s="15" t="str">
        <f>財産管理!K425</f>
        <v/>
      </c>
    </row>
    <row r="424" spans="19:21">
      <c r="S424" s="19"/>
      <c r="T424" s="23"/>
      <c r="U424" s="27" t="str">
        <f>財産管理!K426</f>
        <v/>
      </c>
    </row>
    <row r="425" spans="19:21">
      <c r="S425" s="19"/>
      <c r="T425" s="23"/>
      <c r="U425" s="27" t="str">
        <f>財産管理!K427</f>
        <v/>
      </c>
    </row>
    <row r="426" spans="19:21">
      <c r="S426" s="19"/>
      <c r="T426" s="23"/>
      <c r="U426" s="27" t="str">
        <f>財産管理!K428</f>
        <v/>
      </c>
    </row>
    <row r="427" spans="19:21">
      <c r="S427" s="19"/>
      <c r="T427" s="23"/>
      <c r="U427" s="27" t="str">
        <f>財産管理!K429</f>
        <v/>
      </c>
    </row>
    <row r="428" spans="19:21">
      <c r="S428" s="19"/>
      <c r="T428" s="23"/>
      <c r="U428" s="15" t="str">
        <f>財産管理!K430</f>
        <v/>
      </c>
    </row>
    <row r="429" spans="19:21">
      <c r="S429" s="19"/>
      <c r="T429" s="23"/>
      <c r="U429" s="27" t="str">
        <f>財産管理!K431</f>
        <v/>
      </c>
    </row>
    <row r="430" spans="19:21">
      <c r="S430" s="19"/>
      <c r="T430" s="23"/>
      <c r="U430" s="27" t="str">
        <f>財産管理!K432</f>
        <v/>
      </c>
    </row>
    <row r="431" spans="19:21">
      <c r="S431" s="19"/>
      <c r="T431" s="23"/>
      <c r="U431" s="27" t="str">
        <f>財産管理!K433</f>
        <v/>
      </c>
    </row>
    <row r="432" spans="19:21">
      <c r="S432" s="19"/>
      <c r="T432" s="23"/>
      <c r="U432" s="27" t="str">
        <f>財産管理!K434</f>
        <v/>
      </c>
    </row>
    <row r="433" spans="19:21">
      <c r="S433" s="19"/>
      <c r="T433" s="23"/>
      <c r="U433" s="15" t="str">
        <f>財産管理!K435</f>
        <v/>
      </c>
    </row>
    <row r="434" spans="19:21">
      <c r="S434" s="19"/>
      <c r="T434" s="23"/>
      <c r="U434" s="27" t="str">
        <f>財産管理!K436</f>
        <v/>
      </c>
    </row>
    <row r="435" spans="19:21">
      <c r="S435" s="19"/>
      <c r="T435" s="23"/>
      <c r="U435" s="27" t="str">
        <f>財産管理!K437</f>
        <v/>
      </c>
    </row>
    <row r="436" spans="19:21">
      <c r="S436" s="19"/>
      <c r="T436" s="23"/>
      <c r="U436" s="27" t="str">
        <f>財産管理!K438</f>
        <v/>
      </c>
    </row>
    <row r="437" spans="19:21">
      <c r="S437" s="19"/>
      <c r="T437" s="23"/>
      <c r="U437" s="27" t="str">
        <f>財産管理!K439</f>
        <v/>
      </c>
    </row>
    <row r="438" spans="19:21">
      <c r="S438" s="19"/>
      <c r="T438" s="23"/>
      <c r="U438" s="15" t="str">
        <f>財産管理!K440</f>
        <v/>
      </c>
    </row>
    <row r="439" spans="19:21">
      <c r="S439" s="19"/>
      <c r="T439" s="23"/>
      <c r="U439" s="27" t="str">
        <f>財産管理!K441</f>
        <v/>
      </c>
    </row>
    <row r="440" spans="19:21">
      <c r="S440" s="19"/>
      <c r="T440" s="23"/>
      <c r="U440" s="27" t="str">
        <f>財産管理!K442</f>
        <v/>
      </c>
    </row>
    <row r="441" spans="19:21">
      <c r="S441" s="19"/>
      <c r="T441" s="23"/>
      <c r="U441" s="27" t="str">
        <f>財産管理!K443</f>
        <v/>
      </c>
    </row>
    <row r="442" spans="19:21">
      <c r="S442" s="19"/>
      <c r="T442" s="23"/>
      <c r="U442" s="27" t="str">
        <f>財産管理!K444</f>
        <v/>
      </c>
    </row>
    <row r="443" spans="19:21">
      <c r="S443" s="19"/>
      <c r="T443" s="23"/>
      <c r="U443" s="15" t="str">
        <f>財産管理!K445</f>
        <v/>
      </c>
    </row>
    <row r="444" spans="19:21">
      <c r="S444" s="19"/>
      <c r="T444" s="23"/>
      <c r="U444" s="27" t="str">
        <f>財産管理!K446</f>
        <v/>
      </c>
    </row>
    <row r="445" spans="19:21">
      <c r="S445" s="19"/>
      <c r="T445" s="23"/>
      <c r="U445" s="27" t="str">
        <f>財産管理!K447</f>
        <v/>
      </c>
    </row>
    <row r="446" spans="19:21">
      <c r="S446" s="19"/>
      <c r="T446" s="23"/>
      <c r="U446" s="27" t="str">
        <f>財産管理!K448</f>
        <v/>
      </c>
    </row>
    <row r="447" spans="19:21">
      <c r="S447" s="19"/>
      <c r="T447" s="23"/>
      <c r="U447" s="27" t="str">
        <f>財産管理!K449</f>
        <v/>
      </c>
    </row>
    <row r="448" spans="19:21">
      <c r="S448" s="19"/>
      <c r="T448" s="23"/>
      <c r="U448" s="15" t="str">
        <f>財産管理!K450</f>
        <v/>
      </c>
    </row>
    <row r="449" spans="19:21">
      <c r="S449" s="19"/>
      <c r="T449" s="23"/>
      <c r="U449" s="27" t="str">
        <f>財産管理!K451</f>
        <v/>
      </c>
    </row>
    <row r="450" spans="19:21">
      <c r="S450" s="19"/>
      <c r="T450" s="23"/>
      <c r="U450" s="27" t="str">
        <f>財産管理!K452</f>
        <v/>
      </c>
    </row>
    <row r="451" spans="19:21">
      <c r="S451" s="19"/>
      <c r="T451" s="23"/>
      <c r="U451" s="27" t="str">
        <f>財産管理!K453</f>
        <v/>
      </c>
    </row>
    <row r="452" spans="19:21">
      <c r="S452" s="19"/>
      <c r="T452" s="23"/>
      <c r="U452" s="27" t="str">
        <f>財産管理!K454</f>
        <v/>
      </c>
    </row>
    <row r="453" spans="19:21">
      <c r="S453" s="19"/>
      <c r="T453" s="23"/>
      <c r="U453" s="15" t="str">
        <f>財産管理!K455</f>
        <v/>
      </c>
    </row>
    <row r="454" spans="19:21">
      <c r="S454" s="19"/>
      <c r="T454" s="23"/>
      <c r="U454" s="27" t="str">
        <f>財産管理!K456</f>
        <v/>
      </c>
    </row>
    <row r="455" spans="19:21">
      <c r="S455" s="19"/>
      <c r="T455" s="23"/>
      <c r="U455" s="27" t="str">
        <f>財産管理!K457</f>
        <v/>
      </c>
    </row>
    <row r="456" spans="19:21">
      <c r="S456" s="19"/>
      <c r="T456" s="23"/>
      <c r="U456" s="27" t="str">
        <f>財産管理!K458</f>
        <v/>
      </c>
    </row>
    <row r="457" spans="19:21">
      <c r="S457" s="19"/>
      <c r="T457" s="23"/>
      <c r="U457" s="27" t="str">
        <f>財産管理!K459</f>
        <v/>
      </c>
    </row>
    <row r="458" spans="19:21">
      <c r="S458" s="19"/>
      <c r="T458" s="23"/>
      <c r="U458" s="15" t="str">
        <f>財産管理!K460</f>
        <v/>
      </c>
    </row>
    <row r="459" spans="19:21">
      <c r="S459" s="19"/>
      <c r="T459" s="23"/>
      <c r="U459" s="27" t="str">
        <f>財産管理!K461</f>
        <v/>
      </c>
    </row>
    <row r="460" spans="19:21">
      <c r="S460" s="19"/>
      <c r="T460" s="23"/>
      <c r="U460" s="27" t="str">
        <f>財産管理!K462</f>
        <v/>
      </c>
    </row>
    <row r="461" spans="19:21">
      <c r="S461" s="19"/>
      <c r="T461" s="23"/>
      <c r="U461" s="27" t="str">
        <f>財産管理!K463</f>
        <v/>
      </c>
    </row>
    <row r="462" spans="19:21">
      <c r="S462" s="19"/>
      <c r="T462" s="23"/>
      <c r="U462" s="27" t="str">
        <f>財産管理!K464</f>
        <v/>
      </c>
    </row>
    <row r="463" spans="19:21">
      <c r="S463" s="19"/>
      <c r="T463" s="23"/>
      <c r="U463" s="15" t="str">
        <f>財産管理!K465</f>
        <v/>
      </c>
    </row>
    <row r="464" spans="19:21">
      <c r="S464" s="19"/>
      <c r="T464" s="23"/>
      <c r="U464" s="27" t="str">
        <f>財産管理!K466</f>
        <v/>
      </c>
    </row>
    <row r="465" spans="19:21">
      <c r="S465" s="19"/>
      <c r="T465" s="23"/>
      <c r="U465" s="27" t="str">
        <f>財産管理!K467</f>
        <v/>
      </c>
    </row>
    <row r="466" spans="19:21">
      <c r="S466" s="19"/>
      <c r="T466" s="23"/>
      <c r="U466" s="27" t="str">
        <f>財産管理!K468</f>
        <v/>
      </c>
    </row>
    <row r="467" spans="19:21">
      <c r="S467" s="19"/>
      <c r="T467" s="23"/>
      <c r="U467" s="27" t="str">
        <f>財産管理!K469</f>
        <v/>
      </c>
    </row>
    <row r="468" spans="19:21">
      <c r="S468" s="19"/>
      <c r="T468" s="23"/>
      <c r="U468" s="15" t="str">
        <f>財産管理!K470</f>
        <v/>
      </c>
    </row>
    <row r="469" spans="19:21">
      <c r="S469" s="19"/>
      <c r="T469" s="23"/>
      <c r="U469" s="27" t="str">
        <f>財産管理!K471</f>
        <v/>
      </c>
    </row>
    <row r="470" spans="19:21">
      <c r="S470" s="19"/>
      <c r="T470" s="23"/>
      <c r="U470" s="27" t="str">
        <f>財産管理!K472</f>
        <v/>
      </c>
    </row>
    <row r="471" spans="19:21">
      <c r="S471" s="19"/>
      <c r="T471" s="23"/>
      <c r="U471" s="27" t="str">
        <f>財産管理!K473</f>
        <v/>
      </c>
    </row>
    <row r="472" spans="19:21">
      <c r="S472" s="19"/>
      <c r="T472" s="23"/>
      <c r="U472" s="27" t="str">
        <f>財産管理!K474</f>
        <v/>
      </c>
    </row>
    <row r="473" spans="19:21">
      <c r="S473" s="19"/>
      <c r="T473" s="23"/>
      <c r="U473" s="15" t="str">
        <f>財産管理!K475</f>
        <v/>
      </c>
    </row>
    <row r="474" spans="19:21">
      <c r="S474" s="19"/>
      <c r="T474" s="23"/>
      <c r="U474" s="27" t="str">
        <f>財産管理!K476</f>
        <v/>
      </c>
    </row>
    <row r="475" spans="19:21">
      <c r="S475" s="19"/>
      <c r="T475" s="23"/>
      <c r="U475" s="27" t="str">
        <f>財産管理!K477</f>
        <v/>
      </c>
    </row>
    <row r="476" spans="19:21">
      <c r="S476" s="19"/>
      <c r="T476" s="23"/>
      <c r="U476" s="27" t="str">
        <f>財産管理!K478</f>
        <v/>
      </c>
    </row>
    <row r="477" spans="19:21">
      <c r="S477" s="19"/>
      <c r="T477" s="23"/>
      <c r="U477" s="27" t="str">
        <f>財産管理!K479</f>
        <v/>
      </c>
    </row>
    <row r="478" spans="19:21">
      <c r="S478" s="19"/>
      <c r="T478" s="23"/>
      <c r="U478" s="15" t="str">
        <f>財産管理!K480</f>
        <v/>
      </c>
    </row>
    <row r="479" spans="19:21">
      <c r="S479" s="19"/>
      <c r="T479" s="23"/>
      <c r="U479" s="27" t="str">
        <f>財産管理!K481</f>
        <v/>
      </c>
    </row>
    <row r="480" spans="19:21">
      <c r="S480" s="19"/>
      <c r="T480" s="23"/>
      <c r="U480" s="27" t="str">
        <f>財産管理!K482</f>
        <v/>
      </c>
    </row>
    <row r="481" spans="19:21">
      <c r="S481" s="19"/>
      <c r="T481" s="23"/>
      <c r="U481" s="27" t="str">
        <f>財産管理!K483</f>
        <v/>
      </c>
    </row>
    <row r="482" spans="19:21">
      <c r="S482" s="19"/>
      <c r="T482" s="23"/>
      <c r="U482" s="27" t="str">
        <f>財産管理!K484</f>
        <v/>
      </c>
    </row>
    <row r="483" spans="19:21">
      <c r="S483" s="19"/>
      <c r="T483" s="23"/>
      <c r="U483" s="15" t="str">
        <f>財産管理!K485</f>
        <v/>
      </c>
    </row>
    <row r="484" spans="19:21">
      <c r="S484" s="19"/>
      <c r="T484" s="23"/>
      <c r="U484" s="27" t="str">
        <f>財産管理!K486</f>
        <v/>
      </c>
    </row>
    <row r="485" spans="19:21">
      <c r="S485" s="19"/>
      <c r="T485" s="23"/>
      <c r="U485" s="27" t="str">
        <f>財産管理!K487</f>
        <v/>
      </c>
    </row>
    <row r="486" spans="19:21">
      <c r="S486" s="19"/>
      <c r="T486" s="23"/>
      <c r="U486" s="27" t="str">
        <f>財産管理!K488</f>
        <v/>
      </c>
    </row>
    <row r="487" spans="19:21">
      <c r="S487" s="19"/>
      <c r="T487" s="23"/>
      <c r="U487" s="27" t="str">
        <f>財産管理!K489</f>
        <v/>
      </c>
    </row>
    <row r="488" spans="19:21">
      <c r="S488" s="19"/>
      <c r="T488" s="23"/>
      <c r="U488" s="15" t="str">
        <f>財産管理!K490</f>
        <v/>
      </c>
    </row>
    <row r="489" spans="19:21">
      <c r="S489" s="19"/>
      <c r="T489" s="23"/>
      <c r="U489" s="27" t="str">
        <f>財産管理!K491</f>
        <v/>
      </c>
    </row>
    <row r="490" spans="19:21">
      <c r="S490" s="19"/>
      <c r="T490" s="23"/>
      <c r="U490" s="27" t="str">
        <f>財産管理!K492</f>
        <v/>
      </c>
    </row>
    <row r="491" spans="19:21">
      <c r="S491" s="19"/>
      <c r="T491" s="23"/>
      <c r="U491" s="27" t="str">
        <f>財産管理!K493</f>
        <v/>
      </c>
    </row>
    <row r="492" spans="19:21">
      <c r="S492" s="19"/>
      <c r="T492" s="23"/>
      <c r="U492" s="27" t="str">
        <f>財産管理!K494</f>
        <v/>
      </c>
    </row>
    <row r="493" spans="19:21">
      <c r="S493" s="19"/>
      <c r="T493" s="23"/>
      <c r="U493" s="15" t="str">
        <f>財産管理!K495</f>
        <v/>
      </c>
    </row>
    <row r="494" spans="19:21">
      <c r="S494" s="19"/>
      <c r="T494" s="23"/>
      <c r="U494" s="27" t="str">
        <f>財産管理!K496</f>
        <v/>
      </c>
    </row>
    <row r="495" spans="19:21">
      <c r="S495" s="19"/>
      <c r="T495" s="23"/>
      <c r="U495" s="27" t="str">
        <f>財産管理!K497</f>
        <v/>
      </c>
    </row>
    <row r="496" spans="19:21">
      <c r="S496" s="19"/>
      <c r="T496" s="23"/>
      <c r="U496" s="27" t="str">
        <f>財産管理!K498</f>
        <v/>
      </c>
    </row>
    <row r="497" spans="19:21">
      <c r="S497" s="19"/>
      <c r="T497" s="23"/>
      <c r="U497" s="27" t="str">
        <f>財産管理!K499</f>
        <v/>
      </c>
    </row>
    <row r="498" spans="19:21">
      <c r="S498" s="19"/>
      <c r="T498" s="23"/>
      <c r="U498" s="15" t="str">
        <f>財産管理!K500</f>
        <v/>
      </c>
    </row>
    <row r="499" spans="19:21">
      <c r="S499" s="19"/>
      <c r="T499" s="23"/>
      <c r="U499" s="27" t="str">
        <f>財産管理!K501</f>
        <v/>
      </c>
    </row>
    <row r="500" spans="19:21">
      <c r="S500" s="19"/>
      <c r="T500" s="23"/>
      <c r="U500" s="27" t="str">
        <f>財産管理!K502</f>
        <v/>
      </c>
    </row>
    <row r="501" spans="19:21">
      <c r="S501" s="19"/>
      <c r="T501" s="23"/>
      <c r="U501" s="27" t="str">
        <f>財産管理!K503</f>
        <v/>
      </c>
    </row>
    <row r="502" spans="19:21">
      <c r="S502" s="19"/>
      <c r="T502" s="23"/>
      <c r="U502" s="27" t="str">
        <f>財産管理!K504</f>
        <v/>
      </c>
    </row>
    <row r="503" spans="19:21">
      <c r="S503" s="19"/>
      <c r="T503" s="23"/>
      <c r="U503" s="15" t="str">
        <f>財産管理!K505</f>
        <v/>
      </c>
    </row>
    <row r="504" spans="19:21">
      <c r="S504" s="19"/>
      <c r="T504" s="23"/>
      <c r="U504" s="27" t="str">
        <f>財産管理!K506</f>
        <v/>
      </c>
    </row>
    <row r="505" spans="19:21">
      <c r="S505" s="19"/>
      <c r="T505" s="23"/>
      <c r="U505" s="27" t="str">
        <f>財産管理!K507</f>
        <v/>
      </c>
    </row>
    <row r="506" spans="19:21">
      <c r="S506" s="19"/>
      <c r="T506" s="23"/>
      <c r="U506" s="27" t="str">
        <f>財産管理!K508</f>
        <v/>
      </c>
    </row>
    <row r="507" spans="19:21">
      <c r="S507" s="19"/>
      <c r="T507" s="23"/>
      <c r="U507" s="27" t="str">
        <f>財産管理!K509</f>
        <v/>
      </c>
    </row>
    <row r="508" spans="19:21">
      <c r="S508" s="19"/>
      <c r="T508" s="23"/>
      <c r="U508" s="15" t="str">
        <f>財産管理!K510</f>
        <v/>
      </c>
    </row>
    <row r="509" spans="19:21">
      <c r="S509" s="19"/>
      <c r="T509" s="23"/>
      <c r="U509" s="27" t="str">
        <f>財産管理!K511</f>
        <v/>
      </c>
    </row>
    <row r="510" spans="19:21">
      <c r="S510" s="19"/>
      <c r="T510" s="23"/>
      <c r="U510" s="27" t="str">
        <f>財産管理!K512</f>
        <v/>
      </c>
    </row>
    <row r="511" spans="19:21">
      <c r="S511" s="19"/>
      <c r="T511" s="23"/>
      <c r="U511" s="27" t="str">
        <f>財産管理!K513</f>
        <v/>
      </c>
    </row>
    <row r="512" spans="19:21">
      <c r="S512" s="19"/>
      <c r="T512" s="23"/>
      <c r="U512" s="27" t="str">
        <f>財産管理!K514</f>
        <v/>
      </c>
    </row>
    <row r="513" spans="19:21">
      <c r="S513" s="19"/>
      <c r="T513" s="23"/>
      <c r="U513" s="15" t="str">
        <f>財産管理!K515</f>
        <v/>
      </c>
    </row>
    <row r="514" spans="19:21">
      <c r="S514" s="19"/>
      <c r="T514" s="23"/>
      <c r="U514" s="27" t="str">
        <f>財産管理!K516</f>
        <v/>
      </c>
    </row>
    <row r="515" spans="19:21">
      <c r="S515" s="19"/>
      <c r="T515" s="23"/>
      <c r="U515" s="27" t="str">
        <f>財産管理!K517</f>
        <v/>
      </c>
    </row>
    <row r="516" spans="19:21">
      <c r="S516" s="19"/>
      <c r="T516" s="23"/>
      <c r="U516" s="27" t="str">
        <f>財産管理!K518</f>
        <v/>
      </c>
    </row>
    <row r="517" spans="19:21">
      <c r="S517" s="19"/>
      <c r="T517" s="23"/>
      <c r="U517" s="27" t="str">
        <f>財産管理!K519</f>
        <v/>
      </c>
    </row>
    <row r="518" spans="19:21">
      <c r="S518" s="19"/>
      <c r="T518" s="23"/>
      <c r="U518" s="15" t="str">
        <f>財産管理!K520</f>
        <v/>
      </c>
    </row>
    <row r="519" spans="19:21">
      <c r="S519" s="19"/>
      <c r="T519" s="23"/>
      <c r="U519" s="27" t="str">
        <f>財産管理!K521</f>
        <v/>
      </c>
    </row>
    <row r="520" spans="19:21">
      <c r="S520" s="19"/>
      <c r="T520" s="23"/>
      <c r="U520" s="27" t="str">
        <f>財産管理!K522</f>
        <v/>
      </c>
    </row>
    <row r="521" spans="19:21">
      <c r="S521" s="19"/>
      <c r="T521" s="23"/>
      <c r="U521" s="27" t="str">
        <f>財産管理!K523</f>
        <v/>
      </c>
    </row>
    <row r="522" spans="19:21">
      <c r="S522" s="19"/>
      <c r="T522" s="23"/>
      <c r="U522" s="27" t="str">
        <f>財産管理!K524</f>
        <v/>
      </c>
    </row>
    <row r="523" spans="19:21">
      <c r="S523" s="19"/>
      <c r="T523" s="23"/>
      <c r="U523" s="15" t="str">
        <f>財産管理!K525</f>
        <v/>
      </c>
    </row>
    <row r="524" spans="19:21">
      <c r="S524" s="19"/>
      <c r="T524" s="23"/>
      <c r="U524" s="27" t="str">
        <f>財産管理!K526</f>
        <v/>
      </c>
    </row>
    <row r="525" spans="19:21">
      <c r="S525" s="19"/>
      <c r="T525" s="23"/>
      <c r="U525" s="27" t="str">
        <f>財産管理!K527</f>
        <v/>
      </c>
    </row>
    <row r="526" spans="19:21">
      <c r="S526" s="19"/>
      <c r="T526" s="23"/>
      <c r="U526" s="27" t="str">
        <f>財産管理!K528</f>
        <v/>
      </c>
    </row>
    <row r="527" spans="19:21">
      <c r="S527" s="19"/>
      <c r="T527" s="23"/>
      <c r="U527" s="27" t="str">
        <f>財産管理!K529</f>
        <v/>
      </c>
    </row>
    <row r="528" spans="19:21">
      <c r="S528" s="19"/>
      <c r="T528" s="23"/>
      <c r="U528" s="15" t="str">
        <f>財産管理!K530</f>
        <v/>
      </c>
    </row>
    <row r="529" spans="19:21">
      <c r="S529" s="19"/>
      <c r="T529" s="23"/>
      <c r="U529" s="27" t="str">
        <f>財産管理!K531</f>
        <v/>
      </c>
    </row>
    <row r="530" spans="19:21">
      <c r="S530" s="19"/>
      <c r="T530" s="23"/>
      <c r="U530" s="27" t="str">
        <f>財産管理!K532</f>
        <v/>
      </c>
    </row>
    <row r="531" spans="19:21">
      <c r="S531" s="19"/>
      <c r="T531" s="23"/>
      <c r="U531" s="27" t="str">
        <f>財産管理!K533</f>
        <v/>
      </c>
    </row>
    <row r="532" spans="19:21">
      <c r="S532" s="19"/>
      <c r="T532" s="23"/>
      <c r="U532" s="27" t="str">
        <f>財産管理!K534</f>
        <v/>
      </c>
    </row>
    <row r="533" spans="19:21">
      <c r="S533" s="19"/>
      <c r="T533" s="23"/>
      <c r="U533" s="15" t="str">
        <f>財産管理!K535</f>
        <v/>
      </c>
    </row>
    <row r="534" spans="19:21">
      <c r="S534" s="19"/>
      <c r="T534" s="23"/>
      <c r="U534" s="27" t="str">
        <f>財産管理!K536</f>
        <v/>
      </c>
    </row>
    <row r="535" spans="19:21">
      <c r="S535" s="19"/>
      <c r="T535" s="23"/>
      <c r="U535" s="27" t="str">
        <f>財産管理!K537</f>
        <v/>
      </c>
    </row>
    <row r="536" spans="19:21">
      <c r="S536" s="19"/>
      <c r="T536" s="23"/>
      <c r="U536" s="27" t="str">
        <f>財産管理!K538</f>
        <v/>
      </c>
    </row>
    <row r="537" spans="19:21">
      <c r="S537" s="19"/>
      <c r="T537" s="23"/>
      <c r="U537" s="27" t="str">
        <f>財産管理!K539</f>
        <v/>
      </c>
    </row>
    <row r="538" spans="19:21">
      <c r="S538" s="19"/>
      <c r="T538" s="23"/>
      <c r="U538" s="15" t="str">
        <f>財産管理!K540</f>
        <v/>
      </c>
    </row>
    <row r="539" spans="19:21">
      <c r="S539" s="19"/>
      <c r="T539" s="23"/>
      <c r="U539" s="27" t="str">
        <f>財産管理!K541</f>
        <v/>
      </c>
    </row>
    <row r="540" spans="19:21">
      <c r="S540" s="19"/>
      <c r="T540" s="23"/>
      <c r="U540" s="27" t="str">
        <f>財産管理!K542</f>
        <v/>
      </c>
    </row>
    <row r="541" spans="19:21">
      <c r="S541" s="19"/>
      <c r="T541" s="23"/>
      <c r="U541" s="27" t="str">
        <f>財産管理!K543</f>
        <v/>
      </c>
    </row>
    <row r="542" spans="19:21">
      <c r="S542" s="19"/>
      <c r="T542" s="23"/>
      <c r="U542" s="27" t="str">
        <f>財産管理!K544</f>
        <v/>
      </c>
    </row>
    <row r="543" spans="19:21">
      <c r="S543" s="19"/>
      <c r="T543" s="23"/>
      <c r="U543" s="15" t="str">
        <f>財産管理!K545</f>
        <v/>
      </c>
    </row>
    <row r="544" spans="19:21">
      <c r="S544" s="19"/>
      <c r="T544" s="23"/>
      <c r="U544" s="27" t="str">
        <f>財産管理!K546</f>
        <v/>
      </c>
    </row>
    <row r="545" spans="19:21">
      <c r="S545" s="19"/>
      <c r="T545" s="23"/>
      <c r="U545" s="27" t="str">
        <f>財産管理!K547</f>
        <v/>
      </c>
    </row>
    <row r="546" spans="19:21">
      <c r="S546" s="19"/>
      <c r="T546" s="23"/>
      <c r="U546" s="27" t="str">
        <f>財産管理!K548</f>
        <v/>
      </c>
    </row>
    <row r="547" spans="19:21">
      <c r="S547" s="19"/>
      <c r="T547" s="23"/>
      <c r="U547" s="27" t="str">
        <f>財産管理!K549</f>
        <v/>
      </c>
    </row>
    <row r="548" spans="19:21">
      <c r="S548" s="19"/>
      <c r="T548" s="23"/>
      <c r="U548" s="15" t="str">
        <f>財産管理!K550</f>
        <v/>
      </c>
    </row>
    <row r="549" spans="19:21">
      <c r="S549" s="19"/>
      <c r="T549" s="23"/>
      <c r="U549" s="27" t="str">
        <f>財産管理!K551</f>
        <v/>
      </c>
    </row>
    <row r="550" spans="19:21">
      <c r="S550" s="19"/>
      <c r="T550" s="23"/>
      <c r="U550" s="27" t="str">
        <f>財産管理!K552</f>
        <v/>
      </c>
    </row>
    <row r="551" spans="19:21">
      <c r="S551" s="19"/>
      <c r="T551" s="23"/>
      <c r="U551" s="27" t="str">
        <f>財産管理!K553</f>
        <v/>
      </c>
    </row>
    <row r="552" spans="19:21">
      <c r="S552" s="19"/>
      <c r="T552" s="23"/>
      <c r="U552" s="27" t="str">
        <f>財産管理!K554</f>
        <v/>
      </c>
    </row>
    <row r="553" spans="19:21">
      <c r="S553" s="19"/>
      <c r="T553" s="23"/>
      <c r="U553" s="15" t="str">
        <f>財産管理!K555</f>
        <v/>
      </c>
    </row>
    <row r="554" spans="19:21">
      <c r="S554" s="19"/>
      <c r="T554" s="23"/>
      <c r="U554" s="27" t="str">
        <f>財産管理!K556</f>
        <v/>
      </c>
    </row>
    <row r="555" spans="19:21">
      <c r="S555" s="19"/>
      <c r="T555" s="23"/>
      <c r="U555" s="27" t="str">
        <f>財産管理!K557</f>
        <v/>
      </c>
    </row>
    <row r="556" spans="19:21">
      <c r="S556" s="19"/>
      <c r="T556" s="23"/>
      <c r="U556" s="27" t="str">
        <f>財産管理!K558</f>
        <v/>
      </c>
    </row>
    <row r="557" spans="19:21">
      <c r="S557" s="19"/>
      <c r="T557" s="23"/>
      <c r="U557" s="27" t="str">
        <f>財産管理!K559</f>
        <v/>
      </c>
    </row>
    <row r="558" spans="19:21">
      <c r="S558" s="19"/>
      <c r="T558" s="23"/>
      <c r="U558" s="15" t="str">
        <f>財産管理!K560</f>
        <v/>
      </c>
    </row>
    <row r="559" spans="19:21">
      <c r="S559" s="19"/>
      <c r="T559" s="23"/>
      <c r="U559" s="27" t="str">
        <f>財産管理!K561</f>
        <v/>
      </c>
    </row>
    <row r="560" spans="19:21">
      <c r="S560" s="19"/>
      <c r="T560" s="23"/>
      <c r="U560" s="27" t="str">
        <f>財産管理!K562</f>
        <v/>
      </c>
    </row>
    <row r="561" spans="19:21">
      <c r="S561" s="19"/>
      <c r="T561" s="23"/>
      <c r="U561" s="27" t="str">
        <f>財産管理!K563</f>
        <v/>
      </c>
    </row>
    <row r="562" spans="19:21">
      <c r="S562" s="19"/>
      <c r="T562" s="23"/>
      <c r="U562" s="27" t="str">
        <f>財産管理!K564</f>
        <v/>
      </c>
    </row>
    <row r="563" spans="19:21">
      <c r="S563" s="19"/>
      <c r="T563" s="23"/>
      <c r="U563" s="15" t="str">
        <f>財産管理!K565</f>
        <v/>
      </c>
    </row>
    <row r="564" spans="19:21">
      <c r="S564" s="19"/>
      <c r="T564" s="23"/>
      <c r="U564" s="27" t="str">
        <f>財産管理!K566</f>
        <v/>
      </c>
    </row>
    <row r="565" spans="19:21">
      <c r="S565" s="19"/>
      <c r="T565" s="23"/>
      <c r="U565" s="27" t="str">
        <f>財産管理!K567</f>
        <v/>
      </c>
    </row>
    <row r="566" spans="19:21">
      <c r="S566" s="19"/>
      <c r="T566" s="23"/>
      <c r="U566" s="27" t="str">
        <f>財産管理!K568</f>
        <v/>
      </c>
    </row>
    <row r="567" spans="19:21">
      <c r="S567" s="19"/>
      <c r="T567" s="23"/>
      <c r="U567" s="27" t="str">
        <f>財産管理!K569</f>
        <v/>
      </c>
    </row>
    <row r="568" spans="19:21">
      <c r="S568" s="19"/>
      <c r="T568" s="23"/>
      <c r="U568" s="15" t="str">
        <f>財産管理!K570</f>
        <v/>
      </c>
    </row>
    <row r="569" spans="19:21">
      <c r="S569" s="19"/>
      <c r="T569" s="23"/>
      <c r="U569" s="27" t="str">
        <f>財産管理!K571</f>
        <v/>
      </c>
    </row>
    <row r="570" spans="19:21">
      <c r="S570" s="19"/>
      <c r="T570" s="23"/>
      <c r="U570" s="27" t="str">
        <f>財産管理!K572</f>
        <v/>
      </c>
    </row>
    <row r="571" spans="19:21">
      <c r="S571" s="19"/>
      <c r="T571" s="23"/>
      <c r="U571" s="27" t="str">
        <f>財産管理!K573</f>
        <v/>
      </c>
    </row>
    <row r="572" spans="19:21">
      <c r="S572" s="19"/>
      <c r="T572" s="23"/>
      <c r="U572" s="27" t="str">
        <f>財産管理!K574</f>
        <v/>
      </c>
    </row>
    <row r="573" spans="19:21">
      <c r="S573" s="19"/>
      <c r="T573" s="23"/>
      <c r="U573" s="15" t="str">
        <f>財産管理!K575</f>
        <v/>
      </c>
    </row>
    <row r="574" spans="19:21">
      <c r="S574" s="19"/>
      <c r="T574" s="23"/>
      <c r="U574" s="27" t="str">
        <f>財産管理!K576</f>
        <v/>
      </c>
    </row>
    <row r="575" spans="19:21">
      <c r="S575" s="19"/>
      <c r="T575" s="23"/>
      <c r="U575" s="27" t="str">
        <f>財産管理!K577</f>
        <v/>
      </c>
    </row>
    <row r="576" spans="19:21">
      <c r="S576" s="19"/>
      <c r="T576" s="23"/>
      <c r="U576" s="27" t="str">
        <f>財産管理!K578</f>
        <v/>
      </c>
    </row>
    <row r="577" spans="19:21">
      <c r="S577" s="19"/>
      <c r="T577" s="23"/>
      <c r="U577" s="27" t="str">
        <f>財産管理!K579</f>
        <v/>
      </c>
    </row>
    <row r="578" spans="19:21">
      <c r="S578" s="19"/>
      <c r="T578" s="23"/>
      <c r="U578" s="15" t="str">
        <f>財産管理!K580</f>
        <v/>
      </c>
    </row>
    <row r="579" spans="19:21">
      <c r="S579" s="19"/>
      <c r="T579" s="23"/>
      <c r="U579" s="27" t="str">
        <f>財産管理!K581</f>
        <v/>
      </c>
    </row>
    <row r="580" spans="19:21">
      <c r="S580" s="19"/>
      <c r="T580" s="23"/>
      <c r="U580" s="27" t="str">
        <f>財産管理!K582</f>
        <v/>
      </c>
    </row>
    <row r="581" spans="19:21">
      <c r="S581" s="19"/>
      <c r="T581" s="23"/>
      <c r="U581" s="27" t="str">
        <f>財産管理!K583</f>
        <v/>
      </c>
    </row>
    <row r="582" spans="19:21">
      <c r="S582" s="19"/>
      <c r="T582" s="23"/>
      <c r="U582" s="27" t="str">
        <f>財産管理!K584</f>
        <v/>
      </c>
    </row>
    <row r="583" spans="19:21">
      <c r="S583" s="19"/>
      <c r="T583" s="23"/>
      <c r="U583" s="15" t="str">
        <f>財産管理!K585</f>
        <v/>
      </c>
    </row>
    <row r="584" spans="19:21">
      <c r="S584" s="19"/>
      <c r="T584" s="23"/>
      <c r="U584" s="27" t="str">
        <f>財産管理!K586</f>
        <v/>
      </c>
    </row>
    <row r="585" spans="19:21">
      <c r="S585" s="19"/>
      <c r="T585" s="23"/>
      <c r="U585" s="27" t="str">
        <f>財産管理!K587</f>
        <v/>
      </c>
    </row>
    <row r="586" spans="19:21">
      <c r="S586" s="19"/>
      <c r="T586" s="23"/>
      <c r="U586" s="27" t="str">
        <f>財産管理!K588</f>
        <v/>
      </c>
    </row>
    <row r="587" spans="19:21">
      <c r="S587" s="19"/>
      <c r="T587" s="23"/>
      <c r="U587" s="27" t="str">
        <f>財産管理!K589</f>
        <v/>
      </c>
    </row>
    <row r="588" spans="19:21">
      <c r="S588" s="19"/>
      <c r="T588" s="23"/>
      <c r="U588" s="15" t="str">
        <f>財産管理!K590</f>
        <v/>
      </c>
    </row>
    <row r="589" spans="19:21">
      <c r="S589" s="19"/>
      <c r="T589" s="23"/>
      <c r="U589" s="27" t="str">
        <f>財産管理!K591</f>
        <v/>
      </c>
    </row>
    <row r="590" spans="19:21">
      <c r="S590" s="19"/>
      <c r="T590" s="23"/>
      <c r="U590" s="27" t="str">
        <f>財産管理!K592</f>
        <v/>
      </c>
    </row>
    <row r="591" spans="19:21">
      <c r="S591" s="19"/>
      <c r="T591" s="23"/>
      <c r="U591" s="27" t="str">
        <f>財産管理!K593</f>
        <v/>
      </c>
    </row>
    <row r="592" spans="19:21">
      <c r="S592" s="19"/>
      <c r="T592" s="23"/>
      <c r="U592" s="27" t="str">
        <f>財産管理!K594</f>
        <v/>
      </c>
    </row>
    <row r="593" spans="19:21">
      <c r="S593" s="19"/>
      <c r="T593" s="23"/>
      <c r="U593" s="15" t="str">
        <f>財産管理!K595</f>
        <v/>
      </c>
    </row>
    <row r="594" spans="19:21">
      <c r="S594" s="19"/>
      <c r="T594" s="23"/>
      <c r="U594" s="27" t="str">
        <f>財産管理!K596</f>
        <v/>
      </c>
    </row>
    <row r="595" spans="19:21">
      <c r="S595" s="19"/>
      <c r="T595" s="23"/>
      <c r="U595" s="27" t="str">
        <f>財産管理!K597</f>
        <v/>
      </c>
    </row>
    <row r="596" spans="19:21">
      <c r="S596" s="19"/>
      <c r="T596" s="23"/>
      <c r="U596" s="27" t="str">
        <f>財産管理!K598</f>
        <v/>
      </c>
    </row>
    <row r="597" spans="19:21">
      <c r="S597" s="19"/>
      <c r="T597" s="23"/>
      <c r="U597" s="27" t="str">
        <f>財産管理!K599</f>
        <v/>
      </c>
    </row>
    <row r="598" spans="19:21">
      <c r="S598" s="19"/>
      <c r="T598" s="23"/>
      <c r="U598" s="15" t="str">
        <f>財産管理!K600</f>
        <v/>
      </c>
    </row>
    <row r="599" spans="19:21">
      <c r="S599" s="19"/>
      <c r="T599" s="23"/>
      <c r="U599" s="27" t="str">
        <f>財産管理!K601</f>
        <v/>
      </c>
    </row>
    <row r="600" spans="19:21">
      <c r="S600" s="19"/>
      <c r="T600" s="23"/>
      <c r="U600" s="27" t="str">
        <f>財産管理!K602</f>
        <v/>
      </c>
    </row>
    <row r="601" spans="19:21">
      <c r="S601" s="19"/>
      <c r="T601" s="23"/>
      <c r="U601" s="27" t="str">
        <f>財産管理!K603</f>
        <v/>
      </c>
    </row>
    <row r="602" spans="19:21">
      <c r="S602" s="19"/>
      <c r="T602" s="23"/>
      <c r="U602" s="27" t="str">
        <f>財産管理!K604</f>
        <v/>
      </c>
    </row>
    <row r="603" spans="19:21">
      <c r="S603" s="19"/>
      <c r="T603" s="23"/>
      <c r="U603" s="15" t="str">
        <f>財産管理!K605</f>
        <v/>
      </c>
    </row>
    <row r="604" spans="19:21">
      <c r="S604" s="19"/>
      <c r="T604" s="23"/>
      <c r="U604" s="27" t="str">
        <f>財産管理!K606</f>
        <v/>
      </c>
    </row>
    <row r="605" spans="19:21">
      <c r="S605" s="19"/>
      <c r="T605" s="23"/>
      <c r="U605" s="27" t="str">
        <f>財産管理!K607</f>
        <v/>
      </c>
    </row>
    <row r="606" spans="19:21">
      <c r="S606" s="19"/>
      <c r="T606" s="23"/>
      <c r="U606" s="27" t="str">
        <f>財産管理!K608</f>
        <v/>
      </c>
    </row>
    <row r="607" spans="19:21">
      <c r="S607" s="19"/>
      <c r="T607" s="23"/>
      <c r="U607" s="27" t="str">
        <f>財産管理!K609</f>
        <v/>
      </c>
    </row>
    <row r="608" spans="19:21">
      <c r="S608" s="19"/>
      <c r="T608" s="23"/>
      <c r="U608" s="15" t="str">
        <f>財産管理!K610</f>
        <v/>
      </c>
    </row>
    <row r="609" spans="19:21">
      <c r="S609" s="19"/>
      <c r="T609" s="23"/>
      <c r="U609" s="27" t="str">
        <f>財産管理!K611</f>
        <v/>
      </c>
    </row>
    <row r="610" spans="19:21">
      <c r="S610" s="19"/>
      <c r="T610" s="23"/>
      <c r="U610" s="27" t="str">
        <f>財産管理!K612</f>
        <v/>
      </c>
    </row>
    <row r="611" spans="19:21">
      <c r="S611" s="19"/>
      <c r="T611" s="23"/>
      <c r="U611" s="27" t="str">
        <f>財産管理!K613</f>
        <v/>
      </c>
    </row>
    <row r="612" spans="19:21">
      <c r="S612" s="19"/>
      <c r="T612" s="23"/>
      <c r="U612" s="27" t="str">
        <f>財産管理!K614</f>
        <v/>
      </c>
    </row>
    <row r="613" spans="19:21">
      <c r="S613" s="19"/>
      <c r="T613" s="23"/>
      <c r="U613" s="15" t="str">
        <f>財産管理!K615</f>
        <v/>
      </c>
    </row>
    <row r="614" spans="19:21">
      <c r="S614" s="19"/>
      <c r="T614" s="23"/>
      <c r="U614" s="27" t="str">
        <f>財産管理!K616</f>
        <v/>
      </c>
    </row>
    <row r="615" spans="19:21">
      <c r="S615" s="19"/>
      <c r="T615" s="23"/>
      <c r="U615" s="27" t="str">
        <f>財産管理!K617</f>
        <v/>
      </c>
    </row>
    <row r="616" spans="19:21">
      <c r="S616" s="19"/>
      <c r="T616" s="23"/>
      <c r="U616" s="27" t="str">
        <f>財産管理!K618</f>
        <v/>
      </c>
    </row>
    <row r="617" spans="19:21">
      <c r="S617" s="19"/>
      <c r="T617" s="23"/>
      <c r="U617" s="27" t="str">
        <f>財産管理!K619</f>
        <v/>
      </c>
    </row>
    <row r="618" spans="19:21">
      <c r="S618" s="19"/>
      <c r="T618" s="23"/>
      <c r="U618" s="15" t="str">
        <f>財産管理!K620</f>
        <v/>
      </c>
    </row>
    <row r="619" spans="19:21">
      <c r="S619" s="19"/>
      <c r="T619" s="23"/>
      <c r="U619" s="27" t="str">
        <f>財産管理!K621</f>
        <v/>
      </c>
    </row>
    <row r="620" spans="19:21">
      <c r="S620" s="19"/>
      <c r="T620" s="23"/>
      <c r="U620" s="27" t="str">
        <f>財産管理!K622</f>
        <v/>
      </c>
    </row>
    <row r="621" spans="19:21">
      <c r="S621" s="19"/>
      <c r="T621" s="23"/>
      <c r="U621" s="27" t="str">
        <f>財産管理!K623</f>
        <v/>
      </c>
    </row>
    <row r="622" spans="19:21">
      <c r="S622" s="19"/>
      <c r="T622" s="23"/>
      <c r="U622" s="27" t="str">
        <f>財産管理!K624</f>
        <v/>
      </c>
    </row>
    <row r="623" spans="19:21">
      <c r="S623" s="19"/>
      <c r="T623" s="23"/>
      <c r="U623" s="15" t="str">
        <f>財産管理!K625</f>
        <v/>
      </c>
    </row>
    <row r="624" spans="19:21">
      <c r="S624" s="19"/>
      <c r="T624" s="23"/>
      <c r="U624" s="27" t="str">
        <f>財産管理!K626</f>
        <v/>
      </c>
    </row>
    <row r="625" spans="19:21">
      <c r="S625" s="19"/>
      <c r="T625" s="23"/>
      <c r="U625" s="27" t="str">
        <f>財産管理!K627</f>
        <v/>
      </c>
    </row>
    <row r="626" spans="19:21">
      <c r="S626" s="19"/>
      <c r="T626" s="23"/>
      <c r="U626" s="27" t="str">
        <f>財産管理!K628</f>
        <v/>
      </c>
    </row>
    <row r="627" spans="19:21">
      <c r="S627" s="19"/>
      <c r="T627" s="23"/>
      <c r="U627" s="27" t="str">
        <f>財産管理!K629</f>
        <v/>
      </c>
    </row>
    <row r="628" spans="19:21">
      <c r="S628" s="21"/>
      <c r="T628" s="23"/>
      <c r="U628" s="15" t="str">
        <f>財産管理!K630</f>
        <v/>
      </c>
    </row>
    <row r="629" spans="19:21">
      <c r="U629" s="27" t="str">
        <f>財産管理!K631</f>
        <v/>
      </c>
    </row>
    <row r="630" spans="19:21">
      <c r="U630" s="27" t="str">
        <f>財産管理!K632</f>
        <v/>
      </c>
    </row>
    <row r="631" spans="19:21">
      <c r="U631" s="27" t="str">
        <f>財産管理!K633</f>
        <v/>
      </c>
    </row>
    <row r="632" spans="19:21">
      <c r="U632" s="27" t="str">
        <f>財産管理!K634</f>
        <v/>
      </c>
    </row>
    <row r="633" spans="19:21">
      <c r="U633" s="15" t="str">
        <f>財産管理!K635</f>
        <v/>
      </c>
    </row>
    <row r="634" spans="19:21">
      <c r="U634" s="27" t="str">
        <f>財産管理!K636</f>
        <v/>
      </c>
    </row>
    <row r="635" spans="19:21">
      <c r="U635" s="27" t="str">
        <f>財産管理!K637</f>
        <v/>
      </c>
    </row>
    <row r="636" spans="19:21">
      <c r="U636" s="27" t="str">
        <f>財産管理!K638</f>
        <v/>
      </c>
    </row>
    <row r="637" spans="19:21">
      <c r="U637" s="27" t="str">
        <f>財産管理!K639</f>
        <v/>
      </c>
    </row>
    <row r="638" spans="19:21">
      <c r="U638" s="15" t="str">
        <f>財産管理!K640</f>
        <v/>
      </c>
    </row>
    <row r="639" spans="19:21">
      <c r="U639" s="27" t="str">
        <f>財産管理!K641</f>
        <v/>
      </c>
    </row>
    <row r="640" spans="19:21">
      <c r="U640" s="27" t="str">
        <f>財産管理!K642</f>
        <v/>
      </c>
    </row>
    <row r="641" spans="21:21">
      <c r="U641" s="27" t="str">
        <f>財産管理!K643</f>
        <v/>
      </c>
    </row>
    <row r="642" spans="21:21">
      <c r="U642" s="27" t="str">
        <f>財産管理!K644</f>
        <v/>
      </c>
    </row>
    <row r="643" spans="21:21">
      <c r="U643" s="15" t="str">
        <f>財産管理!K645</f>
        <v/>
      </c>
    </row>
    <row r="644" spans="21:21">
      <c r="U644" s="27" t="str">
        <f>財産管理!K646</f>
        <v/>
      </c>
    </row>
    <row r="645" spans="21:21">
      <c r="U645" s="27" t="str">
        <f>財産管理!K647</f>
        <v/>
      </c>
    </row>
    <row r="646" spans="21:21">
      <c r="U646" s="27" t="str">
        <f>財産管理!K648</f>
        <v/>
      </c>
    </row>
    <row r="647" spans="21:21">
      <c r="U647" s="27" t="str">
        <f>財産管理!K649</f>
        <v/>
      </c>
    </row>
    <row r="648" spans="21:21">
      <c r="U648" s="15" t="str">
        <f>財産管理!K650</f>
        <v/>
      </c>
    </row>
    <row r="649" spans="21:21">
      <c r="U649" s="27" t="str">
        <f>財産管理!K651</f>
        <v/>
      </c>
    </row>
    <row r="650" spans="21:21">
      <c r="U650" s="27" t="str">
        <f>財産管理!K652</f>
        <v/>
      </c>
    </row>
    <row r="651" spans="21:21">
      <c r="U651" s="27" t="str">
        <f>財産管理!K653</f>
        <v/>
      </c>
    </row>
    <row r="652" spans="21:21">
      <c r="U652" s="27" t="str">
        <f>財産管理!K654</f>
        <v/>
      </c>
    </row>
    <row r="653" spans="21:21">
      <c r="U653" s="15" t="str">
        <f>財産管理!K655</f>
        <v/>
      </c>
    </row>
    <row r="654" spans="21:21">
      <c r="U654" s="27" t="str">
        <f>財産管理!K656</f>
        <v/>
      </c>
    </row>
    <row r="655" spans="21:21">
      <c r="U655" s="27" t="str">
        <f>財産管理!K657</f>
        <v/>
      </c>
    </row>
    <row r="656" spans="21:21">
      <c r="U656" s="27" t="str">
        <f>財産管理!K658</f>
        <v/>
      </c>
    </row>
    <row r="657" spans="21:21">
      <c r="U657" s="27" t="str">
        <f>財産管理!K659</f>
        <v/>
      </c>
    </row>
    <row r="658" spans="21:21">
      <c r="U658" s="15" t="str">
        <f>財産管理!K660</f>
        <v/>
      </c>
    </row>
    <row r="659" spans="21:21">
      <c r="U659" s="27" t="str">
        <f>財産管理!K661</f>
        <v/>
      </c>
    </row>
  </sheetData>
  <mergeCells count="2">
    <mergeCell ref="A1:C3"/>
    <mergeCell ref="K16:L16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CommandButton2">
          <controlPr defaultSize="0" autoLine="0" r:id="rId5">
            <anchor moveWithCells="1">
              <from>
                <xdr:col>11</xdr:col>
                <xdr:colOff>285750</xdr:colOff>
                <xdr:row>11</xdr:row>
                <xdr:rowOff>85725</xdr:rowOff>
              </from>
              <to>
                <xdr:col>12</xdr:col>
                <xdr:colOff>390525</xdr:colOff>
                <xdr:row>13</xdr:row>
                <xdr:rowOff>9525</xdr:rowOff>
              </to>
            </anchor>
          </controlPr>
        </control>
      </mc:Choice>
      <mc:Fallback>
        <control shapeId="1043" r:id="rId4" name="CommandButton2"/>
      </mc:Fallback>
    </mc:AlternateContent>
    <mc:AlternateContent xmlns:mc="http://schemas.openxmlformats.org/markup-compatibility/2006">
      <mc:Choice Requires="x14">
        <control shapeId="1042" r:id="rId6" name="CommandButton1">
          <controlPr defaultSize="0" autoLine="0" r:id="rId7">
            <anchor moveWithCells="1">
              <from>
                <xdr:col>9</xdr:col>
                <xdr:colOff>647700</xdr:colOff>
                <xdr:row>11</xdr:row>
                <xdr:rowOff>85725</xdr:rowOff>
              </from>
              <to>
                <xdr:col>11</xdr:col>
                <xdr:colOff>76200</xdr:colOff>
                <xdr:row>13</xdr:row>
                <xdr:rowOff>19050</xdr:rowOff>
              </to>
            </anchor>
          </controlPr>
        </control>
      </mc:Choice>
      <mc:Fallback>
        <control shapeId="1042" r:id="rId6" name="CommandButton1"/>
      </mc:Fallback>
    </mc:AlternateContent>
    <mc:AlternateContent xmlns:mc="http://schemas.openxmlformats.org/markup-compatibility/2006">
      <mc:Choice Requires="x14">
        <control shapeId="1041" r:id="rId8" name="ComboBox3">
          <controlPr defaultSize="0" autoLine="0" r:id="rId9">
            <anchor moveWithCells="1">
              <from>
                <xdr:col>7</xdr:col>
                <xdr:colOff>657225</xdr:colOff>
                <xdr:row>7</xdr:row>
                <xdr:rowOff>152400</xdr:rowOff>
              </from>
              <to>
                <xdr:col>10</xdr:col>
                <xdr:colOff>9525</xdr:colOff>
                <xdr:row>9</xdr:row>
                <xdr:rowOff>28575</xdr:rowOff>
              </to>
            </anchor>
          </controlPr>
        </control>
      </mc:Choice>
      <mc:Fallback>
        <control shapeId="1041" r:id="rId8" name="ComboBox3"/>
      </mc:Fallback>
    </mc:AlternateContent>
    <mc:AlternateContent xmlns:mc="http://schemas.openxmlformats.org/markup-compatibility/2006">
      <mc:Choice Requires="x14">
        <control shapeId="1040" r:id="rId10" name="ComboBox2">
          <controlPr defaultSize="0" autoLine="0" r:id="rId11">
            <anchor moveWithCells="1">
              <from>
                <xdr:col>5</xdr:col>
                <xdr:colOff>0</xdr:colOff>
                <xdr:row>7</xdr:row>
                <xdr:rowOff>133350</xdr:rowOff>
              </from>
              <to>
                <xdr:col>7</xdr:col>
                <xdr:colOff>0</xdr:colOff>
                <xdr:row>9</xdr:row>
                <xdr:rowOff>38100</xdr:rowOff>
              </to>
            </anchor>
          </controlPr>
        </control>
      </mc:Choice>
      <mc:Fallback>
        <control shapeId="1040" r:id="rId10" name="ComboBox2"/>
      </mc:Fallback>
    </mc:AlternateContent>
    <mc:AlternateContent xmlns:mc="http://schemas.openxmlformats.org/markup-compatibility/2006">
      <mc:Choice Requires="x14">
        <control shapeId="1038" r:id="rId12" name="ComboBox1">
          <controlPr defaultSize="0" autoLine="0" r:id="rId13">
            <anchor moveWithCells="1">
              <from>
                <xdr:col>5</xdr:col>
                <xdr:colOff>0</xdr:colOff>
                <xdr:row>3</xdr:row>
                <xdr:rowOff>152400</xdr:rowOff>
              </from>
              <to>
                <xdr:col>7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38" r:id="rId12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425"/>
  <sheetViews>
    <sheetView zoomScale="85" zoomScaleNormal="85" workbookViewId="0">
      <selection activeCell="N25" sqref="N25"/>
    </sheetView>
  </sheetViews>
  <sheetFormatPr defaultRowHeight="13.5"/>
  <cols>
    <col min="1" max="1" width="9.5" bestFit="1" customWidth="1"/>
    <col min="2" max="2" width="10.25" bestFit="1" customWidth="1"/>
    <col min="5" max="5" width="3.5" bestFit="1" customWidth="1"/>
    <col min="6" max="6" width="3.375" bestFit="1" customWidth="1"/>
    <col min="7" max="7" width="9.375" customWidth="1"/>
    <col min="8" max="8" width="6.5" style="7" customWidth="1"/>
    <col min="9" max="10" width="9" customWidth="1"/>
    <col min="13" max="13" width="14.75" customWidth="1"/>
    <col min="14" max="14" width="34.875" bestFit="1" customWidth="1"/>
    <col min="16" max="16" width="9.75" customWidth="1"/>
    <col min="17" max="17" width="9" customWidth="1"/>
  </cols>
  <sheetData>
    <row r="1" spans="1:19" ht="13.5" customHeight="1">
      <c r="A1" s="51" t="s">
        <v>394</v>
      </c>
      <c r="B1" s="51"/>
      <c r="C1" s="51"/>
      <c r="D1" s="6"/>
      <c r="E1" s="3"/>
      <c r="F1" s="55" t="s">
        <v>27</v>
      </c>
      <c r="G1" s="55"/>
    </row>
    <row r="2" spans="1:19" ht="13.5" customHeight="1">
      <c r="A2" s="51"/>
      <c r="B2" s="51"/>
      <c r="C2" s="51"/>
      <c r="D2" s="56" t="s">
        <v>418</v>
      </c>
      <c r="E2" s="56"/>
      <c r="F2" s="55" t="s">
        <v>25</v>
      </c>
      <c r="G2" s="55"/>
      <c r="H2" s="54">
        <v>43194</v>
      </c>
      <c r="I2" s="54"/>
      <c r="L2" s="12"/>
    </row>
    <row r="3" spans="1:19" ht="13.5" customHeight="1">
      <c r="A3" s="51"/>
      <c r="B3" s="51"/>
      <c r="C3" s="51"/>
      <c r="D3" s="56"/>
      <c r="E3" s="56"/>
    </row>
    <row r="4" spans="1:19" ht="13.5" customHeight="1">
      <c r="A4" s="2"/>
      <c r="B4" s="2"/>
      <c r="C4" s="2"/>
      <c r="D4" s="2"/>
      <c r="E4" s="3"/>
      <c r="F4" s="16"/>
      <c r="G4" s="16"/>
      <c r="I4" s="16"/>
      <c r="J4" s="16"/>
      <c r="K4" s="16"/>
      <c r="L4" s="16"/>
      <c r="M4" s="16"/>
      <c r="N4" s="16"/>
      <c r="O4" s="16"/>
      <c r="P4" s="16"/>
      <c r="Q4" s="16"/>
    </row>
    <row r="5" spans="1:19">
      <c r="B5" s="16"/>
      <c r="C5" s="16"/>
      <c r="D5" s="16"/>
      <c r="E5" s="16"/>
      <c r="F5" s="16"/>
      <c r="G5" s="16"/>
      <c r="I5" s="16"/>
      <c r="J5" s="16"/>
      <c r="K5" s="16"/>
      <c r="L5" s="52" t="s">
        <v>4</v>
      </c>
      <c r="M5" s="53"/>
      <c r="N5" s="16"/>
      <c r="O5" s="16"/>
      <c r="P5" s="16"/>
      <c r="Q5" s="16"/>
    </row>
    <row r="6" spans="1:19">
      <c r="B6" s="16"/>
      <c r="C6" s="4" t="s">
        <v>11</v>
      </c>
      <c r="D6" s="4" t="s">
        <v>24</v>
      </c>
      <c r="E6" s="4" t="s">
        <v>1</v>
      </c>
      <c r="F6" s="4" t="s">
        <v>2</v>
      </c>
      <c r="G6" s="4" t="s">
        <v>13</v>
      </c>
      <c r="H6" s="8" t="s">
        <v>12</v>
      </c>
      <c r="I6" s="4" t="s">
        <v>8</v>
      </c>
      <c r="J6" s="4" t="s">
        <v>9</v>
      </c>
      <c r="K6" s="4" t="s">
        <v>10</v>
      </c>
      <c r="L6" s="5" t="s">
        <v>6</v>
      </c>
      <c r="M6" s="45" t="s">
        <v>5</v>
      </c>
      <c r="N6" s="4" t="s">
        <v>7</v>
      </c>
      <c r="O6" s="13" t="s">
        <v>410</v>
      </c>
      <c r="P6" s="4" t="s">
        <v>17</v>
      </c>
      <c r="Q6" s="30" t="s">
        <v>21</v>
      </c>
      <c r="R6" s="4" t="s">
        <v>22</v>
      </c>
    </row>
    <row r="7" spans="1:19">
      <c r="B7" s="16"/>
      <c r="C7" s="16">
        <v>1</v>
      </c>
      <c r="D7" s="16"/>
      <c r="E7" s="16"/>
      <c r="F7" s="16"/>
      <c r="G7" s="16"/>
      <c r="I7" s="31"/>
      <c r="J7" s="31"/>
      <c r="K7" s="31">
        <f>J7-I7</f>
        <v>0</v>
      </c>
      <c r="L7" s="16"/>
      <c r="M7" s="50"/>
      <c r="N7" s="16"/>
      <c r="O7" s="13" t="s">
        <v>410</v>
      </c>
      <c r="P7" s="34">
        <f>MAX(K7:K630)</f>
        <v>0</v>
      </c>
      <c r="Q7" s="37">
        <f>SUM(J7:J630)</f>
        <v>0</v>
      </c>
      <c r="R7" s="34">
        <f>SUM(I7:I630)</f>
        <v>0</v>
      </c>
    </row>
    <row r="8" spans="1:19">
      <c r="B8" s="16"/>
      <c r="C8" s="16">
        <v>2</v>
      </c>
      <c r="D8" s="24"/>
      <c r="E8" s="17"/>
      <c r="F8" s="17"/>
      <c r="G8" s="17"/>
      <c r="I8" s="31"/>
      <c r="J8" s="31"/>
      <c r="K8" s="31" t="str">
        <f t="shared" ref="K8:K71" si="0">IF(K7="","",IF(K7=K7+J8-I8,"",K7+J8-I8))</f>
        <v/>
      </c>
      <c r="L8" s="17"/>
      <c r="M8" s="50"/>
      <c r="N8" s="17"/>
      <c r="O8" s="13" t="s">
        <v>410</v>
      </c>
      <c r="P8" s="34" t="s">
        <v>19</v>
      </c>
      <c r="Q8" s="37" t="s">
        <v>18</v>
      </c>
      <c r="R8" s="34" t="s">
        <v>20</v>
      </c>
    </row>
    <row r="9" spans="1:19">
      <c r="B9" s="16"/>
      <c r="C9" s="16">
        <v>3</v>
      </c>
      <c r="D9" s="24"/>
      <c r="E9" s="16"/>
      <c r="F9" s="16"/>
      <c r="G9" s="16"/>
      <c r="I9" s="31"/>
      <c r="J9" s="31"/>
      <c r="K9" s="31" t="str">
        <f t="shared" si="0"/>
        <v/>
      </c>
      <c r="L9" s="17"/>
      <c r="M9" s="50"/>
      <c r="N9" s="13"/>
      <c r="O9" s="13" t="s">
        <v>410</v>
      </c>
      <c r="P9" s="34">
        <f>MIN(K7:K630)</f>
        <v>0</v>
      </c>
      <c r="Q9" s="37" t="e">
        <f>AVERAGE(J7:J630)</f>
        <v>#DIV/0!</v>
      </c>
      <c r="R9" s="34" t="e">
        <f>AVERAGE(I7:I630)</f>
        <v>#DIV/0!</v>
      </c>
    </row>
    <row r="10" spans="1:19">
      <c r="B10" s="16"/>
      <c r="C10" s="16">
        <v>4</v>
      </c>
      <c r="D10" s="24"/>
      <c r="E10" s="17"/>
      <c r="F10" s="17"/>
      <c r="G10" s="17"/>
      <c r="I10" s="31"/>
      <c r="J10" s="31"/>
      <c r="K10" s="31" t="str">
        <f t="shared" si="0"/>
        <v/>
      </c>
      <c r="L10" s="17"/>
      <c r="M10" s="50"/>
      <c r="N10" s="13"/>
      <c r="O10" s="13" t="s">
        <v>410</v>
      </c>
      <c r="P10" s="31"/>
      <c r="Q10" s="31"/>
      <c r="R10" s="31"/>
    </row>
    <row r="11" spans="1:19">
      <c r="B11" s="16"/>
      <c r="C11" s="16">
        <v>5</v>
      </c>
      <c r="D11" s="24"/>
      <c r="E11" s="13"/>
      <c r="F11" s="13"/>
      <c r="G11" s="13"/>
      <c r="I11" s="32"/>
      <c r="J11" s="32"/>
      <c r="K11" s="31" t="str">
        <f t="shared" si="0"/>
        <v/>
      </c>
      <c r="L11" s="13"/>
      <c r="M11" s="50"/>
      <c r="N11" s="13"/>
      <c r="O11" s="13" t="s">
        <v>410</v>
      </c>
      <c r="P11" s="34" t="s">
        <v>23</v>
      </c>
      <c r="Q11" s="31"/>
      <c r="R11" s="31"/>
    </row>
    <row r="12" spans="1:19">
      <c r="A12" s="15"/>
      <c r="B12" s="16"/>
      <c r="C12" s="16">
        <v>6</v>
      </c>
      <c r="D12" s="24"/>
      <c r="E12" s="13"/>
      <c r="F12" s="13"/>
      <c r="G12" s="13"/>
      <c r="I12" s="32"/>
      <c r="J12" s="32"/>
      <c r="K12" s="31" t="str">
        <f t="shared" si="0"/>
        <v/>
      </c>
      <c r="L12" s="13"/>
      <c r="M12" s="50"/>
      <c r="N12" s="13"/>
      <c r="O12" s="13" t="s">
        <v>410</v>
      </c>
      <c r="P12" s="34">
        <f>Q7-R7</f>
        <v>0</v>
      </c>
      <c r="Q12" s="31"/>
      <c r="R12" s="31"/>
    </row>
    <row r="13" spans="1:19">
      <c r="A13" s="19"/>
      <c r="B13" s="16"/>
      <c r="C13" s="16">
        <v>7</v>
      </c>
      <c r="D13" s="24"/>
      <c r="E13" s="13"/>
      <c r="F13" s="13"/>
      <c r="G13" s="13"/>
      <c r="I13" s="32"/>
      <c r="J13" s="32"/>
      <c r="K13" s="31" t="str">
        <f t="shared" si="0"/>
        <v/>
      </c>
      <c r="L13" s="13"/>
      <c r="M13" s="50"/>
      <c r="N13" s="13"/>
      <c r="O13" s="13" t="s">
        <v>410</v>
      </c>
      <c r="P13" s="16"/>
      <c r="Q13" s="16"/>
    </row>
    <row r="14" spans="1:19">
      <c r="B14" s="16"/>
      <c r="C14" s="16">
        <v>8</v>
      </c>
      <c r="D14" s="24"/>
      <c r="E14" s="13"/>
      <c r="F14" s="13"/>
      <c r="G14" s="13"/>
      <c r="I14" s="32"/>
      <c r="J14" s="32"/>
      <c r="K14" s="31" t="str">
        <f t="shared" si="0"/>
        <v/>
      </c>
      <c r="L14" s="16"/>
      <c r="M14" s="50"/>
      <c r="N14" s="13"/>
      <c r="O14" s="13" t="s">
        <v>410</v>
      </c>
      <c r="P14" s="16"/>
      <c r="Q14" s="16"/>
    </row>
    <row r="15" spans="1:19">
      <c r="B15" s="16"/>
      <c r="C15" s="16">
        <v>9</v>
      </c>
      <c r="D15" s="24"/>
      <c r="E15" s="13"/>
      <c r="F15" s="13"/>
      <c r="G15" s="13"/>
      <c r="I15" s="32"/>
      <c r="J15" s="32"/>
      <c r="K15" s="31" t="str">
        <f t="shared" si="0"/>
        <v/>
      </c>
      <c r="L15" s="16"/>
      <c r="M15" s="50"/>
      <c r="N15" s="13"/>
      <c r="O15" s="13" t="s">
        <v>410</v>
      </c>
      <c r="P15" s="16"/>
      <c r="Q15" s="16"/>
    </row>
    <row r="16" spans="1:19">
      <c r="B16" s="16"/>
      <c r="C16" s="16">
        <v>10</v>
      </c>
      <c r="D16" s="24"/>
      <c r="E16" s="13"/>
      <c r="F16" s="13"/>
      <c r="G16" s="13"/>
      <c r="I16" s="32"/>
      <c r="J16" s="32"/>
      <c r="K16" s="31" t="str">
        <f t="shared" si="0"/>
        <v/>
      </c>
      <c r="L16" s="16"/>
      <c r="M16" s="50"/>
      <c r="N16" s="13"/>
      <c r="O16" s="13" t="s">
        <v>410</v>
      </c>
      <c r="P16" s="46" t="s">
        <v>30</v>
      </c>
      <c r="Q16" s="4" t="s">
        <v>157</v>
      </c>
      <c r="R16" s="4" t="s">
        <v>158</v>
      </c>
      <c r="S16" s="4" t="str">
        <f t="shared" ref="S16:S67" si="1">IF(0=COUNTIF(L:L,R16),"",COUNTIF(L:L,R16))</f>
        <v/>
      </c>
    </row>
    <row r="17" spans="2:19">
      <c r="B17" s="16"/>
      <c r="C17" s="16">
        <v>11</v>
      </c>
      <c r="D17" s="24"/>
      <c r="E17" s="13"/>
      <c r="F17" s="13"/>
      <c r="G17" s="13"/>
      <c r="I17" s="32"/>
      <c r="J17" s="32"/>
      <c r="K17" s="31" t="str">
        <f t="shared" si="0"/>
        <v/>
      </c>
      <c r="M17" s="50"/>
      <c r="N17" s="13"/>
      <c r="O17" s="13" t="s">
        <v>410</v>
      </c>
      <c r="P17" s="47"/>
      <c r="Q17" s="4" t="s">
        <v>159</v>
      </c>
      <c r="R17" s="4" t="s">
        <v>160</v>
      </c>
      <c r="S17" s="4" t="str">
        <f t="shared" si="1"/>
        <v/>
      </c>
    </row>
    <row r="18" spans="2:19">
      <c r="B18" s="16"/>
      <c r="C18" s="16">
        <v>12</v>
      </c>
      <c r="D18" s="24"/>
      <c r="E18" s="13"/>
      <c r="F18" s="13"/>
      <c r="G18" s="13"/>
      <c r="I18" s="32"/>
      <c r="J18" s="32"/>
      <c r="K18" s="31" t="str">
        <f t="shared" si="0"/>
        <v/>
      </c>
      <c r="M18" s="50"/>
      <c r="N18" s="13"/>
      <c r="O18" s="13" t="s">
        <v>410</v>
      </c>
      <c r="P18" s="47"/>
      <c r="Q18" s="49" t="s">
        <v>161</v>
      </c>
      <c r="R18" s="49" t="s">
        <v>162</v>
      </c>
      <c r="S18" s="4" t="str">
        <f t="shared" si="1"/>
        <v/>
      </c>
    </row>
    <row r="19" spans="2:19">
      <c r="B19" s="16"/>
      <c r="C19" s="16">
        <v>13</v>
      </c>
      <c r="D19" s="24"/>
      <c r="E19" s="13"/>
      <c r="F19" s="13"/>
      <c r="G19" s="13"/>
      <c r="I19" s="32"/>
      <c r="J19" s="32"/>
      <c r="K19" s="31" t="str">
        <f t="shared" si="0"/>
        <v/>
      </c>
      <c r="M19" s="44"/>
      <c r="N19" s="13"/>
      <c r="O19" s="13" t="s">
        <v>410</v>
      </c>
      <c r="P19" s="47"/>
      <c r="Q19" s="49" t="s">
        <v>163</v>
      </c>
      <c r="R19" s="49" t="s">
        <v>164</v>
      </c>
      <c r="S19" s="4" t="str">
        <f t="shared" si="1"/>
        <v/>
      </c>
    </row>
    <row r="20" spans="2:19">
      <c r="B20" s="16"/>
      <c r="C20" s="16">
        <v>14</v>
      </c>
      <c r="D20" s="27"/>
      <c r="E20" s="13"/>
      <c r="F20" s="13"/>
      <c r="G20" s="13"/>
      <c r="I20" s="32"/>
      <c r="J20" s="31"/>
      <c r="K20" s="31" t="str">
        <f t="shared" si="0"/>
        <v/>
      </c>
      <c r="L20" s="27"/>
      <c r="M20" s="41"/>
      <c r="N20" s="24"/>
      <c r="O20" s="13" t="s">
        <v>410</v>
      </c>
      <c r="P20" s="47"/>
      <c r="Q20" s="49" t="s">
        <v>165</v>
      </c>
      <c r="R20" s="49" t="s">
        <v>166</v>
      </c>
      <c r="S20" s="4" t="str">
        <f t="shared" si="1"/>
        <v/>
      </c>
    </row>
    <row r="21" spans="2:19">
      <c r="B21" s="16"/>
      <c r="C21" s="16">
        <v>15</v>
      </c>
      <c r="D21" s="27"/>
      <c r="E21" s="13"/>
      <c r="F21" s="13"/>
      <c r="G21" s="13"/>
      <c r="I21" s="32"/>
      <c r="J21" s="31"/>
      <c r="K21" s="31" t="str">
        <f t="shared" si="0"/>
        <v/>
      </c>
      <c r="L21" s="27"/>
      <c r="M21" s="41" t="str">
        <f t="shared" ref="M7:M71" si="2">IF(L21="SP-01","パン",IF(L21="SR-01","ご飯もの",IF(L21="SS-01","おかず",IF(L21="SD-01","飲料",IF(L21="ST-01","菓子類",IF(L21="SO-01","その他",IF(L21="MP-01","デスクトップパソコン",IF(L21="ML-01","ノートパソコン",IF(L21="MP-02","パソコンパーツ",IF(L21="MP-03","パソコン周辺機器",IF(L21="MS-01","スマートフォン本体",IF(L21="MT-01","タブレット本体",IF(L21="MM-01","携帯電話本体",IF(L21="MC-01","充電器",IF(L21="MC-02","カメラ",IF(L21="ME-01","家電",IF(L21="MA-01","オーディオ機器",IF(L21="MH-01","電気工具",IF(L21="MO-01","その他",IF(L21="DC-01","洋服",IF(L21="DS-01","靴",IF(L21="DW-01","時計",IF(L21="DA-01","アクセサリー",IF(L21="DO-01","その他",IF(L21="SD-01","食器",IF(L21="SF-01","家具",IF(L21="SB-01","寝具",IF(L21="SS-01","小物",IF(L21="SO-01","その他",IF(L21="OS-01","筆記具",IF(L21="ON-01","ノート",IF(L21="OR-01","ルーズリーフ",IF(L21="OM-01","工具",IF(L21="OO-01","その他",IF(L21="BN-01","小説",IF(L21="BN-02","新書",IF(L21="BM-01","雑誌",IF(L21="BC-01","漫画",IF(L21="BE-01","教育",IF(L21="BO-01","その他",IF(L21="CI-01","交通ICカード",IF(L21="CC-01","電子マネー",IF(L21="CC-02","クラウド課金",IF(L21="CG-01","ゲーム課金",IF(L21="CO-01","その他",IF(L21="IS-01","給与",IF(L21="IB-01","償却業務",IF(L21="IO-01","その他",IF(L21="AA-01","調整",IF(L21="AS-01","機密",IF(L21="AO-01","その他","")))))))))))))))))))))))))))))))))))))))))))))))))))</f>
        <v/>
      </c>
      <c r="N21" s="24"/>
      <c r="O21" s="13" t="s">
        <v>410</v>
      </c>
      <c r="P21" s="48"/>
      <c r="Q21" s="49" t="s">
        <v>167</v>
      </c>
      <c r="R21" s="49" t="s">
        <v>168</v>
      </c>
      <c r="S21" s="4" t="str">
        <f t="shared" si="1"/>
        <v/>
      </c>
    </row>
    <row r="22" spans="2:19">
      <c r="B22" s="16"/>
      <c r="C22" s="16">
        <v>16</v>
      </c>
      <c r="D22" s="27"/>
      <c r="E22" s="13"/>
      <c r="F22" s="13"/>
      <c r="G22" s="13"/>
      <c r="I22" s="32"/>
      <c r="J22" s="31"/>
      <c r="K22" s="31" t="str">
        <f t="shared" si="0"/>
        <v/>
      </c>
      <c r="L22" s="27"/>
      <c r="M22" s="41" t="str">
        <f t="shared" si="2"/>
        <v/>
      </c>
      <c r="N22" s="24"/>
      <c r="O22" s="13" t="s">
        <v>410</v>
      </c>
      <c r="P22" s="46" t="s">
        <v>35</v>
      </c>
      <c r="Q22" s="49" t="s">
        <v>169</v>
      </c>
      <c r="R22" s="49" t="s">
        <v>170</v>
      </c>
      <c r="S22" s="4" t="str">
        <f t="shared" si="1"/>
        <v/>
      </c>
    </row>
    <row r="23" spans="2:19">
      <c r="B23" s="16"/>
      <c r="C23" s="16">
        <v>17</v>
      </c>
      <c r="D23" s="27"/>
      <c r="E23" s="13"/>
      <c r="F23" s="13"/>
      <c r="G23" s="13"/>
      <c r="I23" s="32"/>
      <c r="J23" s="31"/>
      <c r="K23" s="31" t="str">
        <f t="shared" si="0"/>
        <v/>
      </c>
      <c r="L23" s="35"/>
      <c r="M23" s="41" t="str">
        <f t="shared" si="2"/>
        <v/>
      </c>
      <c r="N23" s="24"/>
      <c r="O23" s="13" t="s">
        <v>410</v>
      </c>
      <c r="P23" s="47"/>
      <c r="Q23" s="49" t="s">
        <v>171</v>
      </c>
      <c r="R23" s="49" t="s">
        <v>172</v>
      </c>
      <c r="S23" s="4" t="str">
        <f t="shared" si="1"/>
        <v/>
      </c>
    </row>
    <row r="24" spans="2:19">
      <c r="B24" s="16"/>
      <c r="C24" s="16">
        <v>18</v>
      </c>
      <c r="D24" s="27"/>
      <c r="E24" s="13"/>
      <c r="F24" s="13"/>
      <c r="G24" s="13"/>
      <c r="I24" s="32"/>
      <c r="J24" s="31"/>
      <c r="K24" s="31" t="str">
        <f t="shared" si="0"/>
        <v/>
      </c>
      <c r="L24" s="27"/>
      <c r="M24" s="41" t="str">
        <f t="shared" si="2"/>
        <v/>
      </c>
      <c r="N24" s="24"/>
      <c r="O24" s="13" t="s">
        <v>410</v>
      </c>
      <c r="P24" s="47"/>
      <c r="Q24" s="49" t="s">
        <v>173</v>
      </c>
      <c r="R24" s="49" t="s">
        <v>174</v>
      </c>
      <c r="S24" s="4" t="str">
        <f t="shared" si="1"/>
        <v/>
      </c>
    </row>
    <row r="25" spans="2:19">
      <c r="B25" s="16"/>
      <c r="C25" s="16">
        <v>19</v>
      </c>
      <c r="D25" s="27"/>
      <c r="E25" s="13"/>
      <c r="F25" s="13"/>
      <c r="G25" s="13"/>
      <c r="I25" s="32"/>
      <c r="J25" s="31"/>
      <c r="K25" s="31" t="str">
        <f t="shared" si="0"/>
        <v/>
      </c>
      <c r="L25" s="27"/>
      <c r="M25" s="41" t="str">
        <f t="shared" si="2"/>
        <v/>
      </c>
      <c r="N25" s="24"/>
      <c r="O25" s="13" t="s">
        <v>410</v>
      </c>
      <c r="P25" s="47"/>
      <c r="Q25" s="49" t="s">
        <v>175</v>
      </c>
      <c r="R25" s="49" t="s">
        <v>176</v>
      </c>
      <c r="S25" s="4" t="str">
        <f t="shared" si="1"/>
        <v/>
      </c>
    </row>
    <row r="26" spans="2:19">
      <c r="B26" s="16"/>
      <c r="C26" s="16">
        <v>20</v>
      </c>
      <c r="D26" s="27"/>
      <c r="E26" s="13"/>
      <c r="F26" s="13"/>
      <c r="G26" s="13"/>
      <c r="I26" s="32"/>
      <c r="J26" s="31"/>
      <c r="K26" s="31" t="str">
        <f t="shared" si="0"/>
        <v/>
      </c>
      <c r="L26" s="27"/>
      <c r="M26" s="41" t="str">
        <f t="shared" si="2"/>
        <v/>
      </c>
      <c r="N26" s="24"/>
      <c r="O26" s="13" t="s">
        <v>410</v>
      </c>
      <c r="P26" s="47"/>
      <c r="Q26" s="4" t="s">
        <v>177</v>
      </c>
      <c r="R26" s="4" t="s">
        <v>178</v>
      </c>
      <c r="S26" s="4" t="str">
        <f t="shared" si="1"/>
        <v/>
      </c>
    </row>
    <row r="27" spans="2:19">
      <c r="B27" s="16"/>
      <c r="C27" s="16">
        <v>21</v>
      </c>
      <c r="D27" s="27"/>
      <c r="E27" s="13"/>
      <c r="F27" s="13"/>
      <c r="G27" s="13"/>
      <c r="I27" s="32"/>
      <c r="J27" s="31"/>
      <c r="K27" s="31" t="str">
        <f t="shared" si="0"/>
        <v/>
      </c>
      <c r="L27" s="27"/>
      <c r="M27" s="41" t="str">
        <f t="shared" si="2"/>
        <v/>
      </c>
      <c r="O27" s="13" t="s">
        <v>410</v>
      </c>
      <c r="P27" s="47"/>
      <c r="Q27" s="4" t="s">
        <v>179</v>
      </c>
      <c r="R27" s="4" t="s">
        <v>180</v>
      </c>
      <c r="S27" s="4" t="str">
        <f t="shared" si="1"/>
        <v/>
      </c>
    </row>
    <row r="28" spans="2:19">
      <c r="B28" s="16"/>
      <c r="C28" s="16">
        <v>22</v>
      </c>
      <c r="D28" s="27"/>
      <c r="E28" s="13"/>
      <c r="F28" s="13"/>
      <c r="G28" s="13"/>
      <c r="I28" s="32"/>
      <c r="K28" s="31" t="str">
        <f t="shared" si="0"/>
        <v/>
      </c>
      <c r="L28" s="27"/>
      <c r="M28" s="41" t="str">
        <f t="shared" si="2"/>
        <v/>
      </c>
      <c r="N28" s="40"/>
      <c r="O28" s="13" t="s">
        <v>410</v>
      </c>
      <c r="P28" s="47"/>
      <c r="Q28" s="4" t="s">
        <v>181</v>
      </c>
      <c r="R28" s="4" t="s">
        <v>182</v>
      </c>
      <c r="S28" s="4" t="str">
        <f t="shared" si="1"/>
        <v/>
      </c>
    </row>
    <row r="29" spans="2:19">
      <c r="B29" s="16"/>
      <c r="C29" s="16">
        <v>23</v>
      </c>
      <c r="D29" s="27"/>
      <c r="E29" s="13"/>
      <c r="F29" s="13"/>
      <c r="G29" s="13"/>
      <c r="I29" s="32"/>
      <c r="J29" s="31"/>
      <c r="K29" s="31" t="str">
        <f t="shared" si="0"/>
        <v/>
      </c>
      <c r="L29" s="27"/>
      <c r="M29" s="41" t="str">
        <f t="shared" si="2"/>
        <v/>
      </c>
      <c r="O29" s="13" t="s">
        <v>410</v>
      </c>
      <c r="P29" s="47"/>
      <c r="Q29" s="4" t="s">
        <v>183</v>
      </c>
      <c r="R29" s="4" t="s">
        <v>184</v>
      </c>
      <c r="S29" s="4" t="str">
        <f t="shared" si="1"/>
        <v/>
      </c>
    </row>
    <row r="30" spans="2:19">
      <c r="B30" s="16"/>
      <c r="C30" s="16">
        <v>24</v>
      </c>
      <c r="D30" s="40"/>
      <c r="E30" s="13"/>
      <c r="F30" s="13"/>
      <c r="G30" s="13"/>
      <c r="I30" s="32"/>
      <c r="J30" s="31"/>
      <c r="K30" s="31" t="str">
        <f t="shared" si="0"/>
        <v/>
      </c>
      <c r="L30" s="40"/>
      <c r="M30" s="41" t="str">
        <f t="shared" si="2"/>
        <v/>
      </c>
      <c r="O30" s="13" t="s">
        <v>410</v>
      </c>
      <c r="P30" s="47"/>
      <c r="Q30" s="4" t="s">
        <v>185</v>
      </c>
      <c r="R30" s="4" t="s">
        <v>186</v>
      </c>
      <c r="S30" s="4" t="str">
        <f t="shared" si="1"/>
        <v/>
      </c>
    </row>
    <row r="31" spans="2:19">
      <c r="B31" s="16"/>
      <c r="C31" s="16">
        <v>25</v>
      </c>
      <c r="D31" s="27"/>
      <c r="E31" s="13"/>
      <c r="F31" s="13"/>
      <c r="G31" s="13"/>
      <c r="I31" s="32"/>
      <c r="J31" s="31"/>
      <c r="K31" s="31" t="str">
        <f t="shared" si="0"/>
        <v/>
      </c>
      <c r="L31" s="27"/>
      <c r="M31" s="41" t="str">
        <f t="shared" si="2"/>
        <v/>
      </c>
      <c r="O31" s="13" t="s">
        <v>410</v>
      </c>
      <c r="P31" s="47"/>
      <c r="Q31" s="4" t="s">
        <v>187</v>
      </c>
      <c r="R31" s="4" t="s">
        <v>188</v>
      </c>
      <c r="S31" s="4" t="str">
        <f t="shared" si="1"/>
        <v/>
      </c>
    </row>
    <row r="32" spans="2:19">
      <c r="B32" s="16"/>
      <c r="C32" s="16">
        <v>26</v>
      </c>
      <c r="D32" s="27"/>
      <c r="E32" s="13"/>
      <c r="F32" s="13"/>
      <c r="G32" s="13"/>
      <c r="I32" s="32"/>
      <c r="J32" s="31"/>
      <c r="K32" s="31" t="str">
        <f t="shared" si="0"/>
        <v/>
      </c>
      <c r="L32" s="27"/>
      <c r="M32" s="41" t="str">
        <f t="shared" si="2"/>
        <v/>
      </c>
      <c r="O32" s="13" t="s">
        <v>410</v>
      </c>
      <c r="P32" s="47"/>
      <c r="Q32" s="4" t="s">
        <v>189</v>
      </c>
      <c r="R32" s="4" t="s">
        <v>190</v>
      </c>
      <c r="S32" s="4" t="str">
        <f t="shared" si="1"/>
        <v/>
      </c>
    </row>
    <row r="33" spans="2:19">
      <c r="B33" s="16"/>
      <c r="C33" s="16">
        <v>27</v>
      </c>
      <c r="D33" s="27"/>
      <c r="E33" s="13"/>
      <c r="F33" s="13"/>
      <c r="G33" s="13"/>
      <c r="I33" s="32"/>
      <c r="J33" s="31"/>
      <c r="K33" s="31" t="str">
        <f t="shared" si="0"/>
        <v/>
      </c>
      <c r="L33" s="27"/>
      <c r="M33" s="41" t="str">
        <f t="shared" si="2"/>
        <v/>
      </c>
      <c r="N33" s="16"/>
      <c r="O33" s="13" t="s">
        <v>410</v>
      </c>
      <c r="P33" s="47"/>
      <c r="Q33" s="4" t="s">
        <v>191</v>
      </c>
      <c r="R33" s="4" t="s">
        <v>192</v>
      </c>
      <c r="S33" s="4" t="str">
        <f t="shared" si="1"/>
        <v/>
      </c>
    </row>
    <row r="34" spans="2:19">
      <c r="B34" s="16"/>
      <c r="C34" s="16">
        <v>28</v>
      </c>
      <c r="D34" s="27"/>
      <c r="E34" s="13"/>
      <c r="F34" s="13"/>
      <c r="G34" s="13"/>
      <c r="I34" s="32"/>
      <c r="J34" s="31"/>
      <c r="K34" s="31" t="str">
        <f t="shared" si="0"/>
        <v/>
      </c>
      <c r="L34" s="27"/>
      <c r="M34" s="41" t="str">
        <f t="shared" si="2"/>
        <v/>
      </c>
      <c r="N34" s="16"/>
      <c r="O34" s="13" t="s">
        <v>410</v>
      </c>
      <c r="P34" s="48"/>
      <c r="Q34" s="4" t="s">
        <v>167</v>
      </c>
      <c r="R34" s="4" t="s">
        <v>254</v>
      </c>
      <c r="S34" s="4" t="str">
        <f t="shared" si="1"/>
        <v/>
      </c>
    </row>
    <row r="35" spans="2:19">
      <c r="B35" s="16"/>
      <c r="C35" s="16">
        <v>29</v>
      </c>
      <c r="D35" s="27"/>
      <c r="E35" s="13"/>
      <c r="F35" s="13"/>
      <c r="G35" s="13"/>
      <c r="I35" s="32"/>
      <c r="J35" s="31"/>
      <c r="K35" s="31" t="str">
        <f t="shared" si="0"/>
        <v/>
      </c>
      <c r="M35" s="41" t="str">
        <f t="shared" si="2"/>
        <v/>
      </c>
      <c r="N35" s="16"/>
      <c r="O35" s="13" t="s">
        <v>410</v>
      </c>
      <c r="P35" s="46" t="s">
        <v>46</v>
      </c>
      <c r="Q35" s="4" t="s">
        <v>193</v>
      </c>
      <c r="R35" s="4" t="s">
        <v>194</v>
      </c>
      <c r="S35" s="4" t="str">
        <f t="shared" si="1"/>
        <v/>
      </c>
    </row>
    <row r="36" spans="2:19">
      <c r="B36" s="16"/>
      <c r="C36" s="16">
        <v>30</v>
      </c>
      <c r="D36" s="27"/>
      <c r="E36" s="13"/>
      <c r="F36" s="13"/>
      <c r="G36" s="13"/>
      <c r="I36" s="32"/>
      <c r="J36" s="31"/>
      <c r="K36" s="31" t="str">
        <f t="shared" si="0"/>
        <v/>
      </c>
      <c r="L36" s="27"/>
      <c r="M36" s="41" t="str">
        <f>IF(L36="SP-01","パン",IF(L36="SR-01","ご飯もの",IF(L36="SS-01","おかず",IF(L36="SD-01","飲料",IF(L36="ST-01","菓子類",IF(L36="SO-01","その他",IF(L36="MP-01","デスクトップパソコン",IF(L36="ML-01","ノートパソコン",IF(L36="MP-02","パソコンパーツ",IF(L36="MP-03","パソコン周辺機器",IF(L36="MS-01","スマートフォン本体",IF(L36="MT-01","タブレット本体",IF(L36="MM-01","携帯電話本体",IF(L36="MC-01","充電器",IF(L36="MC-02","カメラ",IF(L36="ME-01","家電",IF(L36="MA-01","オーディオ機器",IF(L36="MH-01","電気工具",IF(L36="MO-01","その他",IF(L36="DC-01","洋服",IF(L36="DS-01","靴",IF(L36="DW-01","時計",IF(L36="DA-01","アクセサリー",IF(L36="DO-01","その他",IF(L36="SD-01","食器",IF(L36="SF-01","家具",IF(L36="SB-01","寝具",IF(L36="SS-01","小物",IF(L36="SO-01","その他",IF(L36="OS-01","筆記具",IF(L36="ON-01","ノート",IF(L36="OR-01","ルーズリーフ",IF(L36="OM-01","工具",IF(L36="OO-01","その他",IF(L36="BN-01","小説",IF(L36="BN-02","新書",IF(L36="BM-01","雑誌",IF(L36="BC-01","漫画",IF(L36="BE-01","教育",IF(L36="BO-01","その他",IF(L36="CI-01","交通ICカード",IF(L36="CC-01","電子マネー",IF(L36="CC-02","クラウド課金",IF(L36="CG-01","ゲーム課金",IF(L36="CO-01","その他",IF(L36="IS-01","給与",IF(L36="IB-01","償却業務",IF(L36="IO-01","その他",IF(L36="AA-01","調整",IF(L36="AS-01","機密",IF(L36="AO-01","その他","")))))))))))))))))))))))))))))))))))))))))))))))))))</f>
        <v/>
      </c>
      <c r="N36" s="16"/>
      <c r="O36" s="13" t="s">
        <v>410</v>
      </c>
      <c r="P36" s="47"/>
      <c r="Q36" s="4" t="s">
        <v>195</v>
      </c>
      <c r="R36" s="4" t="s">
        <v>196</v>
      </c>
      <c r="S36" s="4" t="str">
        <f t="shared" si="1"/>
        <v/>
      </c>
    </row>
    <row r="37" spans="2:19">
      <c r="B37" s="16"/>
      <c r="C37" s="16">
        <v>31</v>
      </c>
      <c r="D37" s="27"/>
      <c r="E37" s="13"/>
      <c r="F37" s="13"/>
      <c r="G37" s="13"/>
      <c r="I37" s="32"/>
      <c r="J37" s="31"/>
      <c r="K37" s="31" t="str">
        <f t="shared" si="0"/>
        <v/>
      </c>
      <c r="L37" s="27"/>
      <c r="M37" s="43" t="str">
        <f t="shared" si="2"/>
        <v/>
      </c>
      <c r="N37" s="16"/>
      <c r="O37" s="13" t="s">
        <v>410</v>
      </c>
      <c r="P37" s="47"/>
      <c r="Q37" s="4" t="s">
        <v>197</v>
      </c>
      <c r="R37" s="4" t="s">
        <v>198</v>
      </c>
      <c r="S37" s="4" t="str">
        <f t="shared" si="1"/>
        <v/>
      </c>
    </row>
    <row r="38" spans="2:19">
      <c r="B38" s="16"/>
      <c r="C38" s="16">
        <v>32</v>
      </c>
      <c r="D38" s="27"/>
      <c r="E38" s="13"/>
      <c r="F38" s="13"/>
      <c r="G38" s="13"/>
      <c r="I38" s="32"/>
      <c r="J38" s="31"/>
      <c r="K38" s="31" t="str">
        <f t="shared" si="0"/>
        <v/>
      </c>
      <c r="L38" s="27"/>
      <c r="M38" s="43" t="str">
        <f t="shared" si="2"/>
        <v/>
      </c>
      <c r="N38" s="16"/>
      <c r="O38" s="13" t="s">
        <v>410</v>
      </c>
      <c r="P38" s="47"/>
      <c r="Q38" s="4" t="s">
        <v>199</v>
      </c>
      <c r="R38" s="4" t="s">
        <v>200</v>
      </c>
      <c r="S38" s="4" t="str">
        <f t="shared" si="1"/>
        <v/>
      </c>
    </row>
    <row r="39" spans="2:19">
      <c r="B39" s="16"/>
      <c r="C39" s="16">
        <v>33</v>
      </c>
      <c r="D39" s="27"/>
      <c r="E39" s="13"/>
      <c r="F39" s="13"/>
      <c r="G39" s="13"/>
      <c r="I39" s="32"/>
      <c r="J39" s="31"/>
      <c r="K39" s="31" t="str">
        <f t="shared" si="0"/>
        <v/>
      </c>
      <c r="L39" s="27"/>
      <c r="M39" s="43" t="str">
        <f t="shared" si="2"/>
        <v/>
      </c>
      <c r="N39" s="16"/>
      <c r="O39" s="13" t="s">
        <v>410</v>
      </c>
      <c r="P39" s="48"/>
      <c r="Q39" s="4" t="s">
        <v>167</v>
      </c>
      <c r="R39" s="4" t="s">
        <v>201</v>
      </c>
      <c r="S39" s="4" t="str">
        <f t="shared" si="1"/>
        <v/>
      </c>
    </row>
    <row r="40" spans="2:19">
      <c r="B40" s="16"/>
      <c r="C40" s="16">
        <v>34</v>
      </c>
      <c r="D40" s="27"/>
      <c r="E40" s="13"/>
      <c r="F40" s="13"/>
      <c r="G40" s="13"/>
      <c r="I40" s="32"/>
      <c r="J40" s="31"/>
      <c r="K40" s="31" t="str">
        <f t="shared" si="0"/>
        <v/>
      </c>
      <c r="L40" s="27"/>
      <c r="M40" s="43" t="str">
        <f t="shared" si="2"/>
        <v/>
      </c>
      <c r="N40" s="16"/>
      <c r="O40" s="13" t="s">
        <v>410</v>
      </c>
      <c r="P40" s="46" t="s">
        <v>202</v>
      </c>
      <c r="Q40" s="4" t="s">
        <v>203</v>
      </c>
      <c r="R40" s="4" t="s">
        <v>204</v>
      </c>
      <c r="S40" s="4" t="str">
        <f t="shared" si="1"/>
        <v/>
      </c>
    </row>
    <row r="41" spans="2:19">
      <c r="B41" s="16"/>
      <c r="C41" s="16">
        <v>35</v>
      </c>
      <c r="D41" s="27"/>
      <c r="E41" s="13"/>
      <c r="F41" s="13"/>
      <c r="G41" s="13"/>
      <c r="I41" s="32"/>
      <c r="J41" s="31"/>
      <c r="K41" s="31" t="str">
        <f t="shared" si="0"/>
        <v/>
      </c>
      <c r="L41" s="27"/>
      <c r="M41" s="43" t="str">
        <f t="shared" si="2"/>
        <v/>
      </c>
      <c r="N41" s="16"/>
      <c r="O41" s="13" t="s">
        <v>410</v>
      </c>
      <c r="P41" s="47"/>
      <c r="Q41" s="4" t="s">
        <v>205</v>
      </c>
      <c r="R41" s="4" t="s">
        <v>206</v>
      </c>
      <c r="S41" s="4" t="str">
        <f t="shared" si="1"/>
        <v/>
      </c>
    </row>
    <row r="42" spans="2:19">
      <c r="B42" s="16"/>
      <c r="C42" s="16">
        <v>36</v>
      </c>
      <c r="D42" s="27"/>
      <c r="E42" s="13"/>
      <c r="F42" s="13"/>
      <c r="G42" s="13"/>
      <c r="I42" s="32"/>
      <c r="J42" s="31"/>
      <c r="K42" s="31" t="str">
        <f t="shared" si="0"/>
        <v/>
      </c>
      <c r="L42" s="27"/>
      <c r="M42" s="43" t="str">
        <f t="shared" si="2"/>
        <v/>
      </c>
      <c r="N42" s="16"/>
      <c r="O42" s="13" t="s">
        <v>410</v>
      </c>
      <c r="P42" s="47"/>
      <c r="Q42" s="4" t="s">
        <v>207</v>
      </c>
      <c r="R42" s="4" t="s">
        <v>208</v>
      </c>
      <c r="S42" s="4" t="str">
        <f t="shared" si="1"/>
        <v/>
      </c>
    </row>
    <row r="43" spans="2:19">
      <c r="B43" s="16"/>
      <c r="C43" s="16">
        <v>37</v>
      </c>
      <c r="D43" s="27"/>
      <c r="E43" s="13"/>
      <c r="F43" s="13"/>
      <c r="G43" s="13"/>
      <c r="I43" s="32"/>
      <c r="J43" s="31"/>
      <c r="K43" s="31" t="str">
        <f t="shared" si="0"/>
        <v/>
      </c>
      <c r="L43" s="27"/>
      <c r="M43" s="43" t="str">
        <f t="shared" si="2"/>
        <v/>
      </c>
      <c r="N43" s="16"/>
      <c r="O43" s="13" t="s">
        <v>410</v>
      </c>
      <c r="P43" s="47"/>
      <c r="Q43" s="4" t="s">
        <v>209</v>
      </c>
      <c r="R43" s="4" t="s">
        <v>210</v>
      </c>
      <c r="S43" s="4" t="str">
        <f t="shared" si="1"/>
        <v/>
      </c>
    </row>
    <row r="44" spans="2:19">
      <c r="B44" s="16"/>
      <c r="C44" s="16">
        <v>38</v>
      </c>
      <c r="D44" s="27"/>
      <c r="E44" s="13"/>
      <c r="F44" s="13"/>
      <c r="G44" s="13"/>
      <c r="I44" s="32"/>
      <c r="J44" s="31"/>
      <c r="K44" s="31" t="str">
        <f t="shared" si="0"/>
        <v/>
      </c>
      <c r="L44" s="27"/>
      <c r="M44" s="43" t="str">
        <f t="shared" si="2"/>
        <v/>
      </c>
      <c r="N44" s="16"/>
      <c r="O44" s="13" t="s">
        <v>410</v>
      </c>
      <c r="P44" s="48"/>
      <c r="Q44" s="4" t="s">
        <v>167</v>
      </c>
      <c r="R44" s="4" t="s">
        <v>211</v>
      </c>
      <c r="S44" s="4" t="str">
        <f t="shared" si="1"/>
        <v/>
      </c>
    </row>
    <row r="45" spans="2:19">
      <c r="B45" s="16"/>
      <c r="C45" s="16">
        <v>39</v>
      </c>
      <c r="D45" s="27"/>
      <c r="E45" s="13"/>
      <c r="F45" s="13"/>
      <c r="G45" s="13"/>
      <c r="I45" s="32"/>
      <c r="J45" s="31"/>
      <c r="K45" s="31" t="str">
        <f t="shared" si="0"/>
        <v/>
      </c>
      <c r="L45" s="27"/>
      <c r="M45" s="43" t="str">
        <f t="shared" si="2"/>
        <v/>
      </c>
      <c r="N45" s="16"/>
      <c r="O45" s="13" t="s">
        <v>410</v>
      </c>
      <c r="P45" s="46" t="s">
        <v>212</v>
      </c>
      <c r="Q45" s="4" t="s">
        <v>213</v>
      </c>
      <c r="R45" s="4" t="s">
        <v>214</v>
      </c>
      <c r="S45" s="4" t="str">
        <f t="shared" si="1"/>
        <v/>
      </c>
    </row>
    <row r="46" spans="2:19">
      <c r="B46" s="16"/>
      <c r="C46" s="16">
        <v>40</v>
      </c>
      <c r="D46" s="27"/>
      <c r="E46" s="13"/>
      <c r="F46" s="13"/>
      <c r="G46" s="13"/>
      <c r="I46" s="32"/>
      <c r="J46" s="31"/>
      <c r="K46" s="31" t="str">
        <f t="shared" si="0"/>
        <v/>
      </c>
      <c r="L46" s="27"/>
      <c r="M46" s="43" t="str">
        <f t="shared" si="2"/>
        <v/>
      </c>
      <c r="N46" s="16"/>
      <c r="O46" s="13" t="s">
        <v>410</v>
      </c>
      <c r="P46" s="47"/>
      <c r="Q46" s="4" t="s">
        <v>215</v>
      </c>
      <c r="R46" s="4" t="s">
        <v>216</v>
      </c>
      <c r="S46" s="4" t="str">
        <f t="shared" si="1"/>
        <v/>
      </c>
    </row>
    <row r="47" spans="2:19">
      <c r="B47" s="16"/>
      <c r="C47" s="16">
        <v>41</v>
      </c>
      <c r="D47" s="27"/>
      <c r="E47" s="13"/>
      <c r="F47" s="13"/>
      <c r="G47" s="13"/>
      <c r="I47" s="32"/>
      <c r="J47" s="31"/>
      <c r="K47" s="31" t="str">
        <f t="shared" si="0"/>
        <v/>
      </c>
      <c r="L47" s="27"/>
      <c r="M47" s="43" t="str">
        <f t="shared" si="2"/>
        <v/>
      </c>
      <c r="N47" s="16"/>
      <c r="O47" s="13" t="s">
        <v>410</v>
      </c>
      <c r="P47" s="47"/>
      <c r="Q47" s="4" t="s">
        <v>217</v>
      </c>
      <c r="R47" s="4" t="s">
        <v>218</v>
      </c>
      <c r="S47" s="4" t="str">
        <f t="shared" si="1"/>
        <v/>
      </c>
    </row>
    <row r="48" spans="2:19">
      <c r="B48" s="16"/>
      <c r="C48" s="16">
        <v>42</v>
      </c>
      <c r="D48" s="27"/>
      <c r="E48" s="13"/>
      <c r="F48" s="13"/>
      <c r="G48" s="13"/>
      <c r="I48" s="32"/>
      <c r="J48" s="31"/>
      <c r="K48" s="31" t="str">
        <f t="shared" si="0"/>
        <v/>
      </c>
      <c r="L48" s="27"/>
      <c r="M48" s="43" t="str">
        <f t="shared" si="2"/>
        <v/>
      </c>
      <c r="N48" s="16"/>
      <c r="O48" s="13" t="s">
        <v>410</v>
      </c>
      <c r="P48" s="47"/>
      <c r="Q48" s="4" t="s">
        <v>219</v>
      </c>
      <c r="R48" s="4" t="s">
        <v>220</v>
      </c>
      <c r="S48" s="4" t="str">
        <f t="shared" si="1"/>
        <v/>
      </c>
    </row>
    <row r="49" spans="2:19">
      <c r="B49" s="16"/>
      <c r="C49" s="16">
        <v>43</v>
      </c>
      <c r="D49" s="27"/>
      <c r="E49" s="13"/>
      <c r="F49" s="13"/>
      <c r="G49" s="13"/>
      <c r="I49" s="32"/>
      <c r="J49" s="31"/>
      <c r="K49" s="31" t="str">
        <f t="shared" si="0"/>
        <v/>
      </c>
      <c r="L49" s="27"/>
      <c r="M49" s="43" t="str">
        <f t="shared" si="2"/>
        <v/>
      </c>
      <c r="N49" s="16"/>
      <c r="O49" s="13" t="s">
        <v>410</v>
      </c>
      <c r="P49" s="48"/>
      <c r="Q49" s="4" t="s">
        <v>167</v>
      </c>
      <c r="R49" s="4" t="s">
        <v>221</v>
      </c>
      <c r="S49" s="4" t="str">
        <f t="shared" si="1"/>
        <v/>
      </c>
    </row>
    <row r="50" spans="2:19">
      <c r="B50" s="16"/>
      <c r="C50" s="16">
        <v>44</v>
      </c>
      <c r="D50" s="27"/>
      <c r="E50" s="13"/>
      <c r="F50" s="13"/>
      <c r="G50" s="13"/>
      <c r="I50" s="32"/>
      <c r="J50" s="31"/>
      <c r="K50" s="31" t="str">
        <f t="shared" si="0"/>
        <v/>
      </c>
      <c r="L50" s="27"/>
      <c r="M50" s="43" t="str">
        <f t="shared" si="2"/>
        <v/>
      </c>
      <c r="N50" s="16"/>
      <c r="O50" s="13" t="s">
        <v>410</v>
      </c>
      <c r="P50" s="46" t="s">
        <v>74</v>
      </c>
      <c r="Q50" s="4" t="s">
        <v>222</v>
      </c>
      <c r="R50" s="4" t="s">
        <v>223</v>
      </c>
      <c r="S50" s="4" t="str">
        <f t="shared" si="1"/>
        <v/>
      </c>
    </row>
    <row r="51" spans="2:19">
      <c r="B51" s="16"/>
      <c r="C51" s="16">
        <v>45</v>
      </c>
      <c r="E51" s="13"/>
      <c r="F51" s="13"/>
      <c r="G51" s="13"/>
      <c r="I51" s="32"/>
      <c r="J51" s="31"/>
      <c r="K51" s="31" t="str">
        <f t="shared" si="0"/>
        <v/>
      </c>
      <c r="M51" s="43" t="str">
        <f t="shared" si="2"/>
        <v/>
      </c>
      <c r="O51" s="13" t="s">
        <v>410</v>
      </c>
      <c r="P51" s="47"/>
      <c r="Q51" s="4" t="s">
        <v>224</v>
      </c>
      <c r="R51" s="4" t="s">
        <v>225</v>
      </c>
      <c r="S51" s="4" t="str">
        <f t="shared" si="1"/>
        <v/>
      </c>
    </row>
    <row r="52" spans="2:19">
      <c r="B52" s="16"/>
      <c r="C52" s="16">
        <v>46</v>
      </c>
      <c r="I52" s="32"/>
      <c r="K52" s="31" t="str">
        <f t="shared" si="0"/>
        <v/>
      </c>
      <c r="M52" s="43" t="str">
        <f t="shared" si="2"/>
        <v/>
      </c>
      <c r="O52" s="13" t="s">
        <v>410</v>
      </c>
      <c r="P52" s="47"/>
      <c r="Q52" s="4" t="s">
        <v>226</v>
      </c>
      <c r="R52" s="4" t="s">
        <v>227</v>
      </c>
      <c r="S52" s="4" t="str">
        <f t="shared" si="1"/>
        <v/>
      </c>
    </row>
    <row r="53" spans="2:19">
      <c r="B53" s="16"/>
      <c r="C53" s="16">
        <v>47</v>
      </c>
      <c r="K53" s="31" t="str">
        <f t="shared" si="0"/>
        <v/>
      </c>
      <c r="M53" s="43" t="str">
        <f t="shared" si="2"/>
        <v/>
      </c>
      <c r="O53" s="13" t="s">
        <v>410</v>
      </c>
      <c r="P53" s="47"/>
      <c r="Q53" s="4" t="s">
        <v>228</v>
      </c>
      <c r="R53" s="4" t="s">
        <v>229</v>
      </c>
      <c r="S53" s="4" t="str">
        <f t="shared" si="1"/>
        <v/>
      </c>
    </row>
    <row r="54" spans="2:19">
      <c r="B54" s="16"/>
      <c r="C54" s="16">
        <v>48</v>
      </c>
      <c r="D54" s="27"/>
      <c r="E54" s="13"/>
      <c r="F54" s="13"/>
      <c r="G54" s="13"/>
      <c r="I54" s="32"/>
      <c r="J54" s="31"/>
      <c r="K54" s="31" t="str">
        <f t="shared" si="0"/>
        <v/>
      </c>
      <c r="L54" s="27"/>
      <c r="M54" s="43" t="str">
        <f t="shared" si="2"/>
        <v/>
      </c>
      <c r="N54" s="16"/>
      <c r="O54" s="13" t="s">
        <v>410</v>
      </c>
      <c r="P54" s="47"/>
      <c r="Q54" s="4" t="s">
        <v>230</v>
      </c>
      <c r="R54" s="4" t="s">
        <v>231</v>
      </c>
      <c r="S54" s="4" t="str">
        <f t="shared" si="1"/>
        <v/>
      </c>
    </row>
    <row r="55" spans="2:19">
      <c r="B55" s="16"/>
      <c r="C55" s="16">
        <v>49</v>
      </c>
      <c r="D55" s="27"/>
      <c r="E55" s="13"/>
      <c r="F55" s="13"/>
      <c r="G55" s="13"/>
      <c r="I55" s="32"/>
      <c r="J55" s="31"/>
      <c r="K55" s="31" t="str">
        <f t="shared" si="0"/>
        <v/>
      </c>
      <c r="L55" s="27"/>
      <c r="M55" s="43" t="str">
        <f t="shared" si="2"/>
        <v/>
      </c>
      <c r="N55" s="16"/>
      <c r="O55" s="13" t="s">
        <v>410</v>
      </c>
      <c r="P55" s="48"/>
      <c r="Q55" s="4" t="s">
        <v>167</v>
      </c>
      <c r="R55" s="4" t="s">
        <v>232</v>
      </c>
      <c r="S55" s="4" t="str">
        <f t="shared" si="1"/>
        <v/>
      </c>
    </row>
    <row r="56" spans="2:19">
      <c r="B56" s="16"/>
      <c r="C56" s="16">
        <v>50</v>
      </c>
      <c r="D56" s="27"/>
      <c r="E56" s="13"/>
      <c r="F56" s="13"/>
      <c r="G56" s="13"/>
      <c r="I56" s="32"/>
      <c r="J56" s="31"/>
      <c r="K56" s="31" t="str">
        <f t="shared" si="0"/>
        <v/>
      </c>
      <c r="L56" s="27"/>
      <c r="M56" s="43" t="str">
        <f t="shared" si="2"/>
        <v/>
      </c>
      <c r="N56" s="16"/>
      <c r="O56" s="13" t="s">
        <v>410</v>
      </c>
      <c r="P56" s="46" t="s">
        <v>233</v>
      </c>
      <c r="Q56" s="4" t="s">
        <v>234</v>
      </c>
      <c r="R56" s="4" t="s">
        <v>235</v>
      </c>
      <c r="S56" s="4" t="str">
        <f t="shared" si="1"/>
        <v/>
      </c>
    </row>
    <row r="57" spans="2:19">
      <c r="B57" s="16"/>
      <c r="C57" s="16">
        <v>51</v>
      </c>
      <c r="D57" s="27"/>
      <c r="E57" s="13"/>
      <c r="F57" s="13"/>
      <c r="G57" s="13"/>
      <c r="I57" s="32"/>
      <c r="J57" s="31"/>
      <c r="K57" s="31" t="str">
        <f t="shared" si="0"/>
        <v/>
      </c>
      <c r="L57" s="27"/>
      <c r="M57" s="43" t="str">
        <f t="shared" si="2"/>
        <v/>
      </c>
      <c r="N57" s="16"/>
      <c r="O57" s="13" t="s">
        <v>410</v>
      </c>
      <c r="P57" s="47"/>
      <c r="Q57" s="4" t="s">
        <v>236</v>
      </c>
      <c r="R57" s="4" t="s">
        <v>237</v>
      </c>
      <c r="S57" s="4" t="str">
        <f t="shared" si="1"/>
        <v/>
      </c>
    </row>
    <row r="58" spans="2:19">
      <c r="B58" s="16"/>
      <c r="C58" s="16">
        <v>52</v>
      </c>
      <c r="D58" s="27"/>
      <c r="E58" s="13"/>
      <c r="F58" s="13"/>
      <c r="G58" s="13"/>
      <c r="I58" s="32"/>
      <c r="J58" s="31"/>
      <c r="K58" s="31" t="str">
        <f t="shared" si="0"/>
        <v/>
      </c>
      <c r="L58" s="27"/>
      <c r="M58" s="43" t="str">
        <f t="shared" si="2"/>
        <v/>
      </c>
      <c r="N58" s="16"/>
      <c r="O58" s="13" t="s">
        <v>410</v>
      </c>
      <c r="P58" s="47"/>
      <c r="Q58" s="4" t="s">
        <v>238</v>
      </c>
      <c r="R58" s="4" t="s">
        <v>239</v>
      </c>
      <c r="S58" s="4" t="str">
        <f t="shared" si="1"/>
        <v/>
      </c>
    </row>
    <row r="59" spans="2:19">
      <c r="B59" s="16"/>
      <c r="C59" s="16">
        <v>53</v>
      </c>
      <c r="D59" s="27"/>
      <c r="E59" s="13"/>
      <c r="F59" s="13"/>
      <c r="G59" s="13"/>
      <c r="I59" s="32"/>
      <c r="J59" s="31"/>
      <c r="K59" s="31" t="str">
        <f t="shared" si="0"/>
        <v/>
      </c>
      <c r="L59" s="27"/>
      <c r="M59" s="43" t="str">
        <f t="shared" si="2"/>
        <v/>
      </c>
      <c r="N59" s="16"/>
      <c r="O59" s="13" t="s">
        <v>410</v>
      </c>
      <c r="P59" s="47"/>
      <c r="Q59" s="4" t="s">
        <v>240</v>
      </c>
      <c r="R59" s="4" t="s">
        <v>241</v>
      </c>
      <c r="S59" s="4" t="str">
        <f t="shared" si="1"/>
        <v/>
      </c>
    </row>
    <row r="60" spans="2:19">
      <c r="B60" s="16"/>
      <c r="C60" s="16">
        <v>54</v>
      </c>
      <c r="D60" s="27"/>
      <c r="E60" s="13"/>
      <c r="F60" s="13"/>
      <c r="G60" s="13"/>
      <c r="I60" s="32"/>
      <c r="J60" s="31"/>
      <c r="K60" s="31" t="str">
        <f t="shared" si="0"/>
        <v/>
      </c>
      <c r="L60" s="27"/>
      <c r="M60" s="43" t="str">
        <f t="shared" si="2"/>
        <v/>
      </c>
      <c r="N60" s="16"/>
      <c r="O60" s="13" t="s">
        <v>410</v>
      </c>
      <c r="P60" s="48"/>
      <c r="Q60" s="4" t="s">
        <v>167</v>
      </c>
      <c r="R60" s="4" t="s">
        <v>242</v>
      </c>
      <c r="S60" s="4" t="str">
        <f t="shared" si="1"/>
        <v/>
      </c>
    </row>
    <row r="61" spans="2:19">
      <c r="B61" s="16"/>
      <c r="C61" s="16">
        <v>55</v>
      </c>
      <c r="D61" s="27"/>
      <c r="E61" s="13"/>
      <c r="F61" s="13"/>
      <c r="G61" s="13"/>
      <c r="I61" s="32"/>
      <c r="J61" s="31"/>
      <c r="K61" s="31" t="str">
        <f t="shared" si="0"/>
        <v/>
      </c>
      <c r="L61" s="27"/>
      <c r="M61" s="43" t="str">
        <f t="shared" si="2"/>
        <v/>
      </c>
      <c r="N61" s="16"/>
      <c r="O61" s="13" t="s">
        <v>410</v>
      </c>
      <c r="P61" s="46" t="s">
        <v>243</v>
      </c>
      <c r="Q61" s="4" t="s">
        <v>244</v>
      </c>
      <c r="R61" s="4" t="s">
        <v>245</v>
      </c>
      <c r="S61" s="4" t="str">
        <f t="shared" si="1"/>
        <v/>
      </c>
    </row>
    <row r="62" spans="2:19">
      <c r="B62" s="16"/>
      <c r="C62" s="16">
        <v>56</v>
      </c>
      <c r="D62" s="27"/>
      <c r="E62" s="13"/>
      <c r="F62" s="13"/>
      <c r="G62" s="13"/>
      <c r="I62" s="32"/>
      <c r="J62" s="31"/>
      <c r="K62" s="31" t="str">
        <f t="shared" si="0"/>
        <v/>
      </c>
      <c r="L62" s="27"/>
      <c r="M62" s="43" t="str">
        <f t="shared" si="2"/>
        <v/>
      </c>
      <c r="N62" s="16"/>
      <c r="O62" s="13" t="s">
        <v>410</v>
      </c>
      <c r="P62" s="47"/>
      <c r="Q62" s="4" t="s">
        <v>246</v>
      </c>
      <c r="R62" s="4" t="s">
        <v>247</v>
      </c>
      <c r="S62" s="4" t="str">
        <f t="shared" si="1"/>
        <v/>
      </c>
    </row>
    <row r="63" spans="2:19">
      <c r="B63" s="16"/>
      <c r="C63" s="16">
        <v>57</v>
      </c>
      <c r="D63" s="27"/>
      <c r="E63" s="13"/>
      <c r="F63" s="13"/>
      <c r="G63" s="13"/>
      <c r="I63" s="32"/>
      <c r="J63" s="31"/>
      <c r="K63" s="31" t="str">
        <f t="shared" si="0"/>
        <v/>
      </c>
      <c r="L63" s="27"/>
      <c r="M63" s="43" t="str">
        <f t="shared" si="2"/>
        <v/>
      </c>
      <c r="N63" s="16"/>
      <c r="O63" s="13" t="s">
        <v>410</v>
      </c>
      <c r="P63" s="48"/>
      <c r="Q63" s="4" t="s">
        <v>39</v>
      </c>
      <c r="R63" s="4" t="s">
        <v>248</v>
      </c>
      <c r="S63" s="4" t="str">
        <f t="shared" si="1"/>
        <v/>
      </c>
    </row>
    <row r="64" spans="2:19">
      <c r="B64" s="16"/>
      <c r="C64" s="16">
        <v>58</v>
      </c>
      <c r="D64" s="27"/>
      <c r="E64" s="13"/>
      <c r="F64" s="13"/>
      <c r="G64" s="13"/>
      <c r="I64" s="32"/>
      <c r="J64" s="31"/>
      <c r="K64" s="31" t="str">
        <f t="shared" si="0"/>
        <v/>
      </c>
      <c r="L64" s="27"/>
      <c r="M64" s="43" t="str">
        <f t="shared" si="2"/>
        <v/>
      </c>
      <c r="N64" s="16"/>
      <c r="O64" s="13" t="s">
        <v>410</v>
      </c>
      <c r="P64" s="46" t="s">
        <v>39</v>
      </c>
      <c r="Q64" s="4" t="s">
        <v>249</v>
      </c>
      <c r="R64" s="4" t="s">
        <v>250</v>
      </c>
      <c r="S64" s="4" t="str">
        <f t="shared" si="1"/>
        <v/>
      </c>
    </row>
    <row r="65" spans="2:19">
      <c r="B65" s="16"/>
      <c r="C65" s="16">
        <v>59</v>
      </c>
      <c r="D65" s="27"/>
      <c r="E65" s="13"/>
      <c r="F65" s="13"/>
      <c r="G65" s="13"/>
      <c r="I65" s="32"/>
      <c r="J65" s="31"/>
      <c r="K65" s="31" t="str">
        <f t="shared" si="0"/>
        <v/>
      </c>
      <c r="L65" s="27"/>
      <c r="M65" s="43" t="str">
        <f t="shared" si="2"/>
        <v/>
      </c>
      <c r="O65" s="13" t="s">
        <v>410</v>
      </c>
      <c r="P65" s="47"/>
      <c r="Q65" s="4" t="s">
        <v>251</v>
      </c>
      <c r="R65" s="4" t="s">
        <v>252</v>
      </c>
      <c r="S65" s="4" t="str">
        <f t="shared" si="1"/>
        <v/>
      </c>
    </row>
    <row r="66" spans="2:19">
      <c r="B66" s="16"/>
      <c r="C66" s="16">
        <v>60</v>
      </c>
      <c r="D66" s="27"/>
      <c r="E66" s="13"/>
      <c r="F66" s="13"/>
      <c r="G66" s="13"/>
      <c r="I66" s="32"/>
      <c r="J66" s="31"/>
      <c r="K66" s="31" t="str">
        <f t="shared" si="0"/>
        <v/>
      </c>
      <c r="L66" s="27"/>
      <c r="M66" s="43" t="str">
        <f t="shared" si="2"/>
        <v/>
      </c>
      <c r="O66" s="13" t="s">
        <v>410</v>
      </c>
      <c r="P66" s="47"/>
      <c r="Q66" s="4" t="s">
        <v>408</v>
      </c>
      <c r="R66" s="4" t="s">
        <v>409</v>
      </c>
      <c r="S66" s="4" t="str">
        <f t="shared" si="1"/>
        <v/>
      </c>
    </row>
    <row r="67" spans="2:19">
      <c r="B67" s="16"/>
      <c r="C67" s="16">
        <v>61</v>
      </c>
      <c r="D67" s="27"/>
      <c r="E67" s="13"/>
      <c r="F67" s="13"/>
      <c r="G67" s="13"/>
      <c r="I67" s="32"/>
      <c r="J67" s="31"/>
      <c r="K67" s="31" t="str">
        <f t="shared" si="0"/>
        <v/>
      </c>
      <c r="L67" s="27"/>
      <c r="M67" s="43" t="str">
        <f t="shared" si="2"/>
        <v/>
      </c>
      <c r="O67" s="13" t="s">
        <v>410</v>
      </c>
      <c r="P67" s="48"/>
      <c r="Q67" s="4" t="s">
        <v>167</v>
      </c>
      <c r="R67" s="4" t="s">
        <v>253</v>
      </c>
      <c r="S67" s="4" t="str">
        <f t="shared" si="1"/>
        <v/>
      </c>
    </row>
    <row r="68" spans="2:19">
      <c r="B68" s="16"/>
      <c r="C68" s="16">
        <v>62</v>
      </c>
      <c r="D68" s="27"/>
      <c r="E68" s="13"/>
      <c r="F68" s="13"/>
      <c r="G68" s="13"/>
      <c r="I68" s="32"/>
      <c r="J68" s="31"/>
      <c r="K68" s="31" t="str">
        <f t="shared" si="0"/>
        <v/>
      </c>
      <c r="L68" s="27"/>
      <c r="M68" s="43" t="str">
        <f t="shared" si="2"/>
        <v/>
      </c>
      <c r="O68" s="13" t="s">
        <v>410</v>
      </c>
      <c r="S68" s="42"/>
    </row>
    <row r="69" spans="2:19">
      <c r="B69" s="16"/>
      <c r="C69" s="16">
        <v>63</v>
      </c>
      <c r="D69" s="27"/>
      <c r="E69" s="13"/>
      <c r="F69" s="13"/>
      <c r="G69" s="13"/>
      <c r="I69" s="32"/>
      <c r="J69" s="31"/>
      <c r="K69" s="31" t="str">
        <f t="shared" si="0"/>
        <v/>
      </c>
      <c r="L69" s="27"/>
      <c r="M69" s="43" t="str">
        <f t="shared" si="2"/>
        <v/>
      </c>
      <c r="O69" s="13" t="s">
        <v>410</v>
      </c>
      <c r="S69" s="42"/>
    </row>
    <row r="70" spans="2:19">
      <c r="B70" s="16"/>
      <c r="C70" s="16">
        <v>64</v>
      </c>
      <c r="D70" s="27"/>
      <c r="E70" s="13"/>
      <c r="F70" s="13"/>
      <c r="G70" s="13"/>
      <c r="I70" s="32"/>
      <c r="J70" s="31"/>
      <c r="K70" s="31" t="str">
        <f t="shared" si="0"/>
        <v/>
      </c>
      <c r="L70" s="27"/>
      <c r="M70" s="43" t="str">
        <f t="shared" si="2"/>
        <v/>
      </c>
      <c r="O70" s="13" t="s">
        <v>410</v>
      </c>
    </row>
    <row r="71" spans="2:19">
      <c r="B71" s="16"/>
      <c r="C71" s="16">
        <v>65</v>
      </c>
      <c r="D71" s="27"/>
      <c r="E71" s="13"/>
      <c r="F71" s="13"/>
      <c r="G71" s="13"/>
      <c r="I71" s="32"/>
      <c r="J71" s="31"/>
      <c r="K71" s="31" t="str">
        <f t="shared" si="0"/>
        <v/>
      </c>
      <c r="L71" s="27"/>
      <c r="M71" s="43" t="str">
        <f t="shared" si="2"/>
        <v/>
      </c>
      <c r="O71" s="13" t="s">
        <v>410</v>
      </c>
    </row>
    <row r="72" spans="2:19">
      <c r="B72" s="16"/>
      <c r="C72" s="16">
        <v>66</v>
      </c>
      <c r="D72" s="27"/>
      <c r="E72" s="13"/>
      <c r="F72" s="13"/>
      <c r="G72" s="13"/>
      <c r="I72" s="32"/>
      <c r="J72" s="31"/>
      <c r="K72" s="31" t="str">
        <f t="shared" ref="K72:K135" si="3">IF(K71="","",IF(K71=K71+J72-I72,"",K71+J72-I72))</f>
        <v/>
      </c>
      <c r="L72" s="27"/>
      <c r="M72" s="43" t="str">
        <f t="shared" ref="M72:M79" si="4">IF(L72="SP-01","パン",IF(L72="SR-01","ご飯もの",IF(L72="SS-01","おかず",IF(L72="SD-01","飲料",IF(L72="ST-01","菓子類",IF(L72="SO-01","その他",IF(L72="MP-01","デスクトップパソコン",IF(L72="ML-01","ノートパソコン",IF(L72="MP-02","パソコンパーツ",IF(L72="MP-03","パソコン周辺機器",IF(L72="MS-01","スマートフォン本体",IF(L72="MT-01","タブレット本体",IF(L72="MM-01","携帯電話本体",IF(L72="MC-01","充電器",IF(L72="MC-02","カメラ",IF(L72="ME-01","家電",IF(L72="MA-01","オーディオ機器",IF(L72="MH-01","電気工具",IF(L72="MO-01","その他",IF(L72="DC-01","洋服",IF(L72="DS-01","靴",IF(L72="DW-01","時計",IF(L72="DA-01","アクセサリー",IF(L72="DO-01","その他",IF(L72="SD-01","食器",IF(L72="SF-01","家具",IF(L72="SB-01","寝具",IF(L72="SS-01","小物",IF(L72="SO-01","その他",IF(L72="OS-01","筆記具",IF(L72="ON-01","ノート",IF(L72="OR-01","ルーズリーフ",IF(L72="OM-01","工具",IF(L72="OO-01","その他",IF(L72="BN-01","小説",IF(L72="BN-02","新書",IF(L72="BM-01","雑誌",IF(L72="BC-01","漫画",IF(L72="BE-01","教育",IF(L72="BO-01","その他",IF(L72="CI-01","交通ICカード",IF(L72="CC-01","電子マネー",IF(L72="CC-02","クラウド課金",IF(L72="CG-01","ゲーム課金",IF(L72="CO-01","その他",IF(L72="IS-01","給与",IF(L72="IB-01","償却業務",IF(L72="IO-01","その他",IF(L72="AA-01","調整",IF(L72="AS-01","機密",IF(L72="AO-01","その他","")))))))))))))))))))))))))))))))))))))))))))))))))))</f>
        <v/>
      </c>
      <c r="O72" s="13" t="s">
        <v>410</v>
      </c>
    </row>
    <row r="73" spans="2:19">
      <c r="B73" s="16"/>
      <c r="C73" s="16">
        <v>67</v>
      </c>
      <c r="D73" s="27"/>
      <c r="E73" s="13"/>
      <c r="F73" s="13"/>
      <c r="G73" s="13"/>
      <c r="I73" s="32"/>
      <c r="J73" s="31"/>
      <c r="K73" s="31" t="str">
        <f t="shared" si="3"/>
        <v/>
      </c>
      <c r="L73" s="27"/>
      <c r="M73" s="43" t="str">
        <f t="shared" si="4"/>
        <v/>
      </c>
      <c r="O73" s="13" t="s">
        <v>410</v>
      </c>
    </row>
    <row r="74" spans="2:19">
      <c r="B74" s="16"/>
      <c r="C74" s="16">
        <v>68</v>
      </c>
      <c r="D74" s="27"/>
      <c r="E74" s="13"/>
      <c r="F74" s="13"/>
      <c r="G74" s="13"/>
      <c r="I74" s="32"/>
      <c r="J74" s="31"/>
      <c r="K74" s="31" t="str">
        <f t="shared" si="3"/>
        <v/>
      </c>
      <c r="L74" s="27"/>
      <c r="M74" s="43" t="str">
        <f t="shared" si="4"/>
        <v/>
      </c>
      <c r="O74" s="13" t="s">
        <v>410</v>
      </c>
    </row>
    <row r="75" spans="2:19">
      <c r="B75" s="16"/>
      <c r="C75" s="16">
        <v>69</v>
      </c>
      <c r="D75" s="27"/>
      <c r="E75" s="13"/>
      <c r="F75" s="13"/>
      <c r="G75" s="13"/>
      <c r="I75" s="32"/>
      <c r="J75" s="31"/>
      <c r="K75" s="31" t="str">
        <f t="shared" si="3"/>
        <v/>
      </c>
      <c r="L75" s="27"/>
      <c r="M75" s="43" t="str">
        <f t="shared" si="4"/>
        <v/>
      </c>
      <c r="O75" s="13" t="s">
        <v>410</v>
      </c>
    </row>
    <row r="76" spans="2:19">
      <c r="B76" s="16"/>
      <c r="C76" s="16">
        <v>70</v>
      </c>
      <c r="D76" s="27"/>
      <c r="E76" s="13"/>
      <c r="F76" s="13"/>
      <c r="G76" s="13"/>
      <c r="I76" s="32"/>
      <c r="J76" s="31"/>
      <c r="K76" s="31" t="str">
        <f t="shared" si="3"/>
        <v/>
      </c>
      <c r="L76" s="27"/>
      <c r="M76" s="43" t="str">
        <f t="shared" si="4"/>
        <v/>
      </c>
      <c r="O76" s="13" t="s">
        <v>410</v>
      </c>
    </row>
    <row r="77" spans="2:19">
      <c r="B77" s="16"/>
      <c r="C77" s="16">
        <v>71</v>
      </c>
      <c r="D77" s="27"/>
      <c r="E77" s="13"/>
      <c r="F77" s="13"/>
      <c r="G77" s="13"/>
      <c r="I77" s="32"/>
      <c r="J77" s="31"/>
      <c r="K77" s="31" t="str">
        <f t="shared" si="3"/>
        <v/>
      </c>
      <c r="L77" s="27"/>
      <c r="M77" s="43" t="str">
        <f t="shared" si="4"/>
        <v/>
      </c>
      <c r="O77" s="13" t="s">
        <v>410</v>
      </c>
    </row>
    <row r="78" spans="2:19">
      <c r="B78" s="16"/>
      <c r="C78" s="16">
        <v>72</v>
      </c>
      <c r="D78" s="27"/>
      <c r="E78" s="13"/>
      <c r="F78" s="13"/>
      <c r="G78" s="13"/>
      <c r="I78" s="32"/>
      <c r="J78" s="31"/>
      <c r="K78" s="31" t="str">
        <f t="shared" si="3"/>
        <v/>
      </c>
      <c r="L78" s="27"/>
      <c r="M78" s="43" t="str">
        <f t="shared" si="4"/>
        <v/>
      </c>
      <c r="O78" s="13" t="s">
        <v>410</v>
      </c>
    </row>
    <row r="79" spans="2:19">
      <c r="B79" s="16"/>
      <c r="C79" s="16">
        <v>73</v>
      </c>
      <c r="D79" s="27"/>
      <c r="E79" s="13"/>
      <c r="F79" s="13"/>
      <c r="G79" s="13"/>
      <c r="I79" s="32"/>
      <c r="J79" s="31"/>
      <c r="K79" s="31" t="str">
        <f t="shared" si="3"/>
        <v/>
      </c>
      <c r="L79" s="27"/>
      <c r="M79" s="43" t="str">
        <f t="shared" si="4"/>
        <v/>
      </c>
      <c r="O79" s="13" t="s">
        <v>410</v>
      </c>
    </row>
    <row r="80" spans="2:19">
      <c r="B80" s="16"/>
      <c r="C80" s="16">
        <v>74</v>
      </c>
      <c r="D80" s="27"/>
      <c r="E80" s="13"/>
      <c r="F80" s="13"/>
      <c r="G80" s="13"/>
      <c r="I80" s="32"/>
      <c r="J80" s="31"/>
      <c r="K80" s="31" t="str">
        <f t="shared" si="3"/>
        <v/>
      </c>
      <c r="L80" s="27"/>
      <c r="M80" s="41" t="str">
        <f t="shared" ref="M80:M135" si="5">IF(L80="SP-01","パン",IF(L80="SR-01","ご飯もの",IF(L80="SS-01","おかず",IF(L80="SD-01","飲料",IF(L80="ST-01","菓子類",IF(L80="SO-01","その他",IF(L80="MP-01","デスクトップパソコン",IF(L80="ML-01","ノートパソコン",IF(L80="MP-02","パソコンパーツ",IF(L80="MP-03","パソコン周辺機器",IF(L80="MS-01","スマートフォン本体",IF(L80="MT-01","タブレット本体",IF(L80="MM-01","携帯電話本体",IF(L80="MC-01","充電器",IF(L80="MC-02","カメラ",IF(L80="ME-01","家電",IF(L80="MA-01","オーディオ機器",IF(L80="MH-01","電気工具",IF(L80="MO-01","その他",IF(L80="DC-01","洋服",IF(L80="DS-01","靴",IF(L80="DW-01","時計",IF(L80="DA-01","アクセサリー",IF(L80="DO-01","その他",IF(L80="SD-01","食器",IF(L80="SF-01","家具",IF(L80="SB-01","寝具",IF(L80="SS-01","小物",IF(L80="SO-01","その他",IF(L80="OS-01","筆記具",IF(L80="ON-01","ノート",IF(L80="OR-01","ルーズリーフ",IF(L80="OM-01","工具",IF(L80="OO-01","その他",IF(L80="BN-01","小説",IF(L80="BN-02","新書",IF(L80="BM-01","雑誌",IF(L80="BC-01","漫画",IF(L80="BE-01","教育",IF(L80="BO-01","その他",IF(L80="CI-01","交通ICカード",IF(L80="CC-01","電子マネー",IF(L80="CC-02","クラウド課金",IF(L80="CG-01","ゲーム課金",IF(L80="CO-01","その他",IF(L80="IS-01","給与",IF(L80="IB-01","償却業務",IF(L80="IO-01","その他",IF(L80="AA-01","調整",IF(L80="AS-01","機密",IF(L80="AO-01","その他","")))))))))))))))))))))))))))))))))))))))))))))))))))</f>
        <v/>
      </c>
      <c r="O80" s="13" t="s">
        <v>410</v>
      </c>
    </row>
    <row r="81" spans="2:15">
      <c r="B81" s="16"/>
      <c r="C81" s="16">
        <v>75</v>
      </c>
      <c r="D81" s="27"/>
      <c r="E81" s="13"/>
      <c r="F81" s="13"/>
      <c r="G81" s="13"/>
      <c r="I81" s="32"/>
      <c r="J81" s="31"/>
      <c r="K81" s="31" t="str">
        <f t="shared" si="3"/>
        <v/>
      </c>
      <c r="L81" s="27"/>
      <c r="M81" s="41" t="str">
        <f t="shared" si="5"/>
        <v/>
      </c>
      <c r="O81" s="13" t="s">
        <v>410</v>
      </c>
    </row>
    <row r="82" spans="2:15">
      <c r="B82" s="16"/>
      <c r="C82" s="16">
        <v>76</v>
      </c>
      <c r="D82" s="27"/>
      <c r="E82" s="13"/>
      <c r="F82" s="13"/>
      <c r="G82" s="13"/>
      <c r="I82" s="32"/>
      <c r="J82" s="31"/>
      <c r="K82" s="31" t="str">
        <f t="shared" si="3"/>
        <v/>
      </c>
      <c r="L82" s="27"/>
      <c r="M82" s="41" t="str">
        <f t="shared" si="5"/>
        <v/>
      </c>
      <c r="O82" s="13" t="s">
        <v>410</v>
      </c>
    </row>
    <row r="83" spans="2:15">
      <c r="B83" s="16"/>
      <c r="C83" s="16">
        <v>77</v>
      </c>
      <c r="D83" s="27"/>
      <c r="E83" s="13"/>
      <c r="F83" s="13"/>
      <c r="G83" s="13"/>
      <c r="I83" s="32"/>
      <c r="J83" s="31"/>
      <c r="K83" s="31" t="str">
        <f t="shared" si="3"/>
        <v/>
      </c>
      <c r="L83" s="27"/>
      <c r="M83" s="41" t="str">
        <f t="shared" si="5"/>
        <v/>
      </c>
      <c r="O83" s="13" t="s">
        <v>410</v>
      </c>
    </row>
    <row r="84" spans="2:15">
      <c r="B84" s="16"/>
      <c r="C84" s="16">
        <v>78</v>
      </c>
      <c r="D84" s="27"/>
      <c r="E84" s="13"/>
      <c r="F84" s="13"/>
      <c r="G84" s="13"/>
      <c r="I84" s="32"/>
      <c r="J84" s="31"/>
      <c r="K84" s="31" t="str">
        <f t="shared" si="3"/>
        <v/>
      </c>
      <c r="L84" s="27"/>
      <c r="M84" s="41" t="str">
        <f t="shared" si="5"/>
        <v/>
      </c>
      <c r="O84" s="13" t="s">
        <v>410</v>
      </c>
    </row>
    <row r="85" spans="2:15">
      <c r="B85" s="16"/>
      <c r="C85" s="16">
        <v>79</v>
      </c>
      <c r="D85" s="27"/>
      <c r="E85" s="13"/>
      <c r="F85" s="13"/>
      <c r="G85" s="13"/>
      <c r="I85" s="32"/>
      <c r="J85" s="31"/>
      <c r="K85" s="31" t="str">
        <f t="shared" si="3"/>
        <v/>
      </c>
      <c r="M85" s="41" t="str">
        <f t="shared" si="5"/>
        <v/>
      </c>
      <c r="O85" s="13" t="s">
        <v>410</v>
      </c>
    </row>
    <row r="86" spans="2:15">
      <c r="B86" s="16"/>
      <c r="C86" s="16">
        <v>80</v>
      </c>
      <c r="D86" s="27"/>
      <c r="E86" s="13"/>
      <c r="F86" s="13"/>
      <c r="G86" s="13"/>
      <c r="I86" s="32"/>
      <c r="J86" s="31"/>
      <c r="K86" s="31" t="str">
        <f t="shared" si="3"/>
        <v/>
      </c>
      <c r="M86" s="41" t="str">
        <f t="shared" si="5"/>
        <v/>
      </c>
      <c r="O86" s="13" t="s">
        <v>410</v>
      </c>
    </row>
    <row r="87" spans="2:15">
      <c r="B87" s="16"/>
      <c r="C87" s="16">
        <v>81</v>
      </c>
      <c r="D87" s="27"/>
      <c r="E87" s="13"/>
      <c r="F87" s="13"/>
      <c r="G87" s="13"/>
      <c r="I87" s="32"/>
      <c r="J87" s="31"/>
      <c r="K87" s="31" t="str">
        <f t="shared" si="3"/>
        <v/>
      </c>
      <c r="M87" s="41" t="str">
        <f t="shared" si="5"/>
        <v/>
      </c>
      <c r="O87" s="13" t="s">
        <v>410</v>
      </c>
    </row>
    <row r="88" spans="2:15">
      <c r="B88" s="16"/>
      <c r="C88" s="16">
        <v>82</v>
      </c>
      <c r="D88" s="27"/>
      <c r="E88" s="13"/>
      <c r="F88" s="13"/>
      <c r="G88" s="13"/>
      <c r="I88" s="32"/>
      <c r="J88" s="31"/>
      <c r="K88" s="31" t="str">
        <f t="shared" si="3"/>
        <v/>
      </c>
      <c r="M88" s="41" t="str">
        <f t="shared" si="5"/>
        <v/>
      </c>
      <c r="O88" s="13" t="s">
        <v>410</v>
      </c>
    </row>
    <row r="89" spans="2:15">
      <c r="B89" s="16"/>
      <c r="C89" s="16">
        <v>83</v>
      </c>
      <c r="D89" s="27"/>
      <c r="E89" s="13"/>
      <c r="F89" s="13"/>
      <c r="G89" s="13"/>
      <c r="I89" s="32"/>
      <c r="J89" s="31"/>
      <c r="K89" s="31" t="str">
        <f t="shared" si="3"/>
        <v/>
      </c>
      <c r="M89" s="41" t="str">
        <f t="shared" si="5"/>
        <v/>
      </c>
      <c r="O89" s="13" t="s">
        <v>410</v>
      </c>
    </row>
    <row r="90" spans="2:15">
      <c r="B90" s="16"/>
      <c r="C90" s="16">
        <v>84</v>
      </c>
      <c r="D90" s="27"/>
      <c r="E90" s="13"/>
      <c r="F90" s="13"/>
      <c r="G90" s="13"/>
      <c r="I90" s="32"/>
      <c r="J90" s="31"/>
      <c r="K90" s="31" t="str">
        <f t="shared" si="3"/>
        <v/>
      </c>
      <c r="M90" s="41" t="str">
        <f t="shared" si="5"/>
        <v/>
      </c>
      <c r="O90" s="13" t="s">
        <v>410</v>
      </c>
    </row>
    <row r="91" spans="2:15">
      <c r="B91" s="16"/>
      <c r="C91" s="16">
        <v>85</v>
      </c>
      <c r="D91" s="27"/>
      <c r="E91" s="13"/>
      <c r="F91" s="13"/>
      <c r="G91" s="13"/>
      <c r="I91" s="32"/>
      <c r="J91" s="31"/>
      <c r="K91" s="31" t="str">
        <f t="shared" si="3"/>
        <v/>
      </c>
      <c r="M91" s="41" t="str">
        <f t="shared" si="5"/>
        <v/>
      </c>
      <c r="O91" s="13" t="s">
        <v>410</v>
      </c>
    </row>
    <row r="92" spans="2:15">
      <c r="B92" s="16"/>
      <c r="C92" s="16">
        <v>86</v>
      </c>
      <c r="D92" s="27"/>
      <c r="E92" s="13"/>
      <c r="F92" s="13"/>
      <c r="G92" s="13"/>
      <c r="I92" s="32"/>
      <c r="J92" s="31"/>
      <c r="K92" s="31" t="str">
        <f t="shared" si="3"/>
        <v/>
      </c>
      <c r="M92" s="41" t="str">
        <f t="shared" si="5"/>
        <v/>
      </c>
      <c r="O92" s="13" t="s">
        <v>410</v>
      </c>
    </row>
    <row r="93" spans="2:15">
      <c r="B93" s="16"/>
      <c r="C93" s="16">
        <v>87</v>
      </c>
      <c r="D93" s="27"/>
      <c r="E93" s="13"/>
      <c r="F93" s="13"/>
      <c r="G93" s="13"/>
      <c r="I93" s="32"/>
      <c r="J93" s="31"/>
      <c r="K93" s="31" t="str">
        <f t="shared" si="3"/>
        <v/>
      </c>
      <c r="M93" s="41" t="str">
        <f t="shared" si="5"/>
        <v/>
      </c>
      <c r="O93" s="13" t="s">
        <v>410</v>
      </c>
    </row>
    <row r="94" spans="2:15">
      <c r="B94" s="16"/>
      <c r="C94" s="16">
        <v>88</v>
      </c>
      <c r="D94" s="27"/>
      <c r="E94" s="13"/>
      <c r="F94" s="13"/>
      <c r="G94" s="13"/>
      <c r="I94" s="32"/>
      <c r="J94" s="31"/>
      <c r="K94" s="31" t="str">
        <f t="shared" si="3"/>
        <v/>
      </c>
      <c r="M94" s="41" t="str">
        <f t="shared" si="5"/>
        <v/>
      </c>
      <c r="O94" s="13" t="s">
        <v>410</v>
      </c>
    </row>
    <row r="95" spans="2:15">
      <c r="B95" s="16"/>
      <c r="C95" s="16">
        <v>89</v>
      </c>
      <c r="D95" s="27"/>
      <c r="E95" s="13"/>
      <c r="F95" s="13"/>
      <c r="G95" s="13"/>
      <c r="I95" s="32"/>
      <c r="J95" s="31"/>
      <c r="K95" s="31" t="str">
        <f t="shared" si="3"/>
        <v/>
      </c>
      <c r="M95" s="41" t="str">
        <f t="shared" si="5"/>
        <v/>
      </c>
      <c r="O95" s="13" t="s">
        <v>410</v>
      </c>
    </row>
    <row r="96" spans="2:15">
      <c r="B96" s="16"/>
      <c r="C96" s="16">
        <v>90</v>
      </c>
      <c r="D96" s="27"/>
      <c r="E96" s="13"/>
      <c r="F96" s="13"/>
      <c r="G96" s="13"/>
      <c r="I96" s="32"/>
      <c r="J96" s="31"/>
      <c r="K96" s="31" t="str">
        <f t="shared" si="3"/>
        <v/>
      </c>
      <c r="M96" s="41" t="str">
        <f t="shared" si="5"/>
        <v/>
      </c>
      <c r="O96" s="13" t="s">
        <v>410</v>
      </c>
    </row>
    <row r="97" spans="2:15">
      <c r="B97" s="16"/>
      <c r="C97" s="16">
        <v>91</v>
      </c>
      <c r="D97" s="27"/>
      <c r="E97" s="13"/>
      <c r="F97" s="13"/>
      <c r="G97" s="13"/>
      <c r="I97" s="32"/>
      <c r="J97" s="31"/>
      <c r="K97" s="31" t="str">
        <f t="shared" si="3"/>
        <v/>
      </c>
      <c r="M97" s="41" t="str">
        <f t="shared" si="5"/>
        <v/>
      </c>
      <c r="O97" s="13" t="s">
        <v>410</v>
      </c>
    </row>
    <row r="98" spans="2:15">
      <c r="C98" s="20">
        <v>92</v>
      </c>
      <c r="D98" s="27"/>
      <c r="E98" s="13"/>
      <c r="F98" s="13"/>
      <c r="G98" s="13"/>
      <c r="I98" s="32"/>
      <c r="J98" s="31"/>
      <c r="K98" s="31" t="str">
        <f t="shared" si="3"/>
        <v/>
      </c>
      <c r="M98" s="41" t="str">
        <f t="shared" si="5"/>
        <v/>
      </c>
      <c r="O98" s="13" t="s">
        <v>410</v>
      </c>
    </row>
    <row r="99" spans="2:15">
      <c r="C99" s="20">
        <v>93</v>
      </c>
      <c r="D99" s="27"/>
      <c r="E99" s="13"/>
      <c r="F99" s="13"/>
      <c r="G99" s="13"/>
      <c r="I99" s="32"/>
      <c r="J99" s="31"/>
      <c r="K99" s="31" t="str">
        <f t="shared" si="3"/>
        <v/>
      </c>
      <c r="M99" s="41" t="str">
        <f t="shared" si="5"/>
        <v/>
      </c>
      <c r="O99" s="13" t="s">
        <v>410</v>
      </c>
    </row>
    <row r="100" spans="2:15">
      <c r="C100" s="20">
        <v>94</v>
      </c>
      <c r="D100" s="27"/>
      <c r="E100" s="13"/>
      <c r="F100" s="13"/>
      <c r="G100" s="13"/>
      <c r="I100" s="32"/>
      <c r="J100" s="31"/>
      <c r="K100" s="31" t="str">
        <f t="shared" si="3"/>
        <v/>
      </c>
      <c r="M100" s="41" t="str">
        <f t="shared" si="5"/>
        <v/>
      </c>
      <c r="O100" s="13" t="s">
        <v>410</v>
      </c>
    </row>
    <row r="101" spans="2:15">
      <c r="C101" s="20">
        <v>95</v>
      </c>
      <c r="D101" s="27"/>
      <c r="E101" s="13"/>
      <c r="F101" s="13"/>
      <c r="G101" s="13"/>
      <c r="I101" s="32"/>
      <c r="J101" s="31"/>
      <c r="K101" s="31" t="str">
        <f t="shared" si="3"/>
        <v/>
      </c>
      <c r="M101" s="41" t="str">
        <f t="shared" si="5"/>
        <v/>
      </c>
      <c r="O101" s="13" t="s">
        <v>410</v>
      </c>
    </row>
    <row r="102" spans="2:15">
      <c r="C102" s="20">
        <v>96</v>
      </c>
      <c r="D102" s="27"/>
      <c r="E102" s="13"/>
      <c r="F102" s="13"/>
      <c r="G102" s="13"/>
      <c r="I102" s="32"/>
      <c r="J102" s="31"/>
      <c r="K102" s="31" t="str">
        <f t="shared" si="3"/>
        <v/>
      </c>
      <c r="M102" s="41" t="str">
        <f t="shared" si="5"/>
        <v/>
      </c>
      <c r="O102" s="13" t="s">
        <v>410</v>
      </c>
    </row>
    <row r="103" spans="2:15">
      <c r="C103" s="20">
        <v>97</v>
      </c>
      <c r="D103" s="27"/>
      <c r="E103" s="13"/>
      <c r="F103" s="13"/>
      <c r="G103" s="13"/>
      <c r="I103" s="32"/>
      <c r="J103" s="31"/>
      <c r="K103" s="31" t="str">
        <f t="shared" si="3"/>
        <v/>
      </c>
      <c r="M103" s="41" t="str">
        <f t="shared" si="5"/>
        <v/>
      </c>
      <c r="O103" s="13" t="s">
        <v>410</v>
      </c>
    </row>
    <row r="104" spans="2:15">
      <c r="C104" s="20">
        <v>98</v>
      </c>
      <c r="D104" s="27"/>
      <c r="E104" s="13"/>
      <c r="F104" s="13"/>
      <c r="G104" s="13"/>
      <c r="I104" s="32"/>
      <c r="J104" s="31"/>
      <c r="K104" s="31" t="str">
        <f t="shared" si="3"/>
        <v/>
      </c>
      <c r="M104" s="41" t="str">
        <f t="shared" si="5"/>
        <v/>
      </c>
      <c r="O104" s="13" t="s">
        <v>410</v>
      </c>
    </row>
    <row r="105" spans="2:15">
      <c r="C105" s="20">
        <v>99</v>
      </c>
      <c r="D105" s="27"/>
      <c r="E105" s="13"/>
      <c r="F105" s="13"/>
      <c r="G105" s="13"/>
      <c r="I105" s="32"/>
      <c r="J105" s="31"/>
      <c r="K105" s="31" t="str">
        <f t="shared" si="3"/>
        <v/>
      </c>
      <c r="M105" s="41" t="str">
        <f t="shared" si="5"/>
        <v/>
      </c>
      <c r="O105" s="13" t="s">
        <v>410</v>
      </c>
    </row>
    <row r="106" spans="2:15">
      <c r="C106" s="20">
        <v>100</v>
      </c>
      <c r="D106" s="27"/>
      <c r="E106" s="13"/>
      <c r="F106" s="13"/>
      <c r="G106" s="13"/>
      <c r="I106" s="32"/>
      <c r="J106" s="31"/>
      <c r="K106" s="31" t="str">
        <f t="shared" si="3"/>
        <v/>
      </c>
      <c r="M106" s="41" t="str">
        <f t="shared" si="5"/>
        <v/>
      </c>
      <c r="O106" s="13" t="s">
        <v>410</v>
      </c>
    </row>
    <row r="107" spans="2:15">
      <c r="C107" s="20">
        <v>101</v>
      </c>
      <c r="D107" s="27"/>
      <c r="E107" s="13"/>
      <c r="F107" s="13"/>
      <c r="G107" s="13"/>
      <c r="I107" s="32"/>
      <c r="J107" s="31"/>
      <c r="K107" s="31" t="str">
        <f t="shared" si="3"/>
        <v/>
      </c>
      <c r="M107" s="41" t="str">
        <f t="shared" si="5"/>
        <v/>
      </c>
      <c r="O107" s="13" t="s">
        <v>410</v>
      </c>
    </row>
    <row r="108" spans="2:15">
      <c r="C108" s="20">
        <v>102</v>
      </c>
      <c r="D108" s="27"/>
      <c r="E108" s="13"/>
      <c r="F108" s="13"/>
      <c r="G108" s="13"/>
      <c r="I108" s="32"/>
      <c r="J108" s="31"/>
      <c r="K108" s="31" t="str">
        <f t="shared" si="3"/>
        <v/>
      </c>
      <c r="M108" s="41" t="str">
        <f t="shared" si="5"/>
        <v/>
      </c>
      <c r="O108" s="13" t="s">
        <v>410</v>
      </c>
    </row>
    <row r="109" spans="2:15">
      <c r="C109" s="20">
        <v>103</v>
      </c>
      <c r="D109" s="27"/>
      <c r="E109" s="13"/>
      <c r="F109" s="13"/>
      <c r="G109" s="13"/>
      <c r="I109" s="32"/>
      <c r="J109" s="31"/>
      <c r="K109" s="31" t="str">
        <f t="shared" si="3"/>
        <v/>
      </c>
      <c r="M109" s="41" t="str">
        <f t="shared" si="5"/>
        <v/>
      </c>
      <c r="O109" s="13" t="s">
        <v>410</v>
      </c>
    </row>
    <row r="110" spans="2:15">
      <c r="C110" s="20">
        <v>104</v>
      </c>
      <c r="D110" s="27"/>
      <c r="E110" s="13"/>
      <c r="F110" s="13"/>
      <c r="G110" s="13"/>
      <c r="I110" s="32"/>
      <c r="J110" s="31"/>
      <c r="K110" s="31" t="str">
        <f t="shared" si="3"/>
        <v/>
      </c>
      <c r="M110" s="41" t="str">
        <f t="shared" si="5"/>
        <v/>
      </c>
      <c r="O110" s="13" t="s">
        <v>410</v>
      </c>
    </row>
    <row r="111" spans="2:15">
      <c r="C111" s="20">
        <v>105</v>
      </c>
      <c r="D111" s="27"/>
      <c r="E111" s="13"/>
      <c r="F111" s="13"/>
      <c r="G111" s="13"/>
      <c r="I111" s="32"/>
      <c r="J111" s="31"/>
      <c r="K111" s="31" t="str">
        <f t="shared" si="3"/>
        <v/>
      </c>
      <c r="M111" s="41" t="str">
        <f t="shared" si="5"/>
        <v/>
      </c>
      <c r="O111" s="13" t="s">
        <v>410</v>
      </c>
    </row>
    <row r="112" spans="2:15">
      <c r="C112" s="20">
        <v>106</v>
      </c>
      <c r="D112" s="27"/>
      <c r="E112" s="13"/>
      <c r="F112" s="13"/>
      <c r="G112" s="13"/>
      <c r="I112" s="32"/>
      <c r="J112" s="31"/>
      <c r="K112" s="31" t="str">
        <f t="shared" si="3"/>
        <v/>
      </c>
      <c r="M112" s="41" t="str">
        <f t="shared" si="5"/>
        <v/>
      </c>
      <c r="O112" s="13" t="s">
        <v>410</v>
      </c>
    </row>
    <row r="113" spans="3:15">
      <c r="C113" s="20">
        <v>107</v>
      </c>
      <c r="D113" s="27"/>
      <c r="E113" s="13"/>
      <c r="F113" s="13"/>
      <c r="G113" s="13"/>
      <c r="I113" s="32"/>
      <c r="J113" s="31"/>
      <c r="K113" s="31" t="str">
        <f t="shared" si="3"/>
        <v/>
      </c>
      <c r="M113" s="41" t="str">
        <f t="shared" si="5"/>
        <v/>
      </c>
      <c r="O113" s="13" t="s">
        <v>410</v>
      </c>
    </row>
    <row r="114" spans="3:15">
      <c r="C114" s="20">
        <v>108</v>
      </c>
      <c r="D114" s="27"/>
      <c r="E114" s="13"/>
      <c r="F114" s="13"/>
      <c r="G114" s="13"/>
      <c r="I114" s="32"/>
      <c r="J114" s="31"/>
      <c r="K114" s="31" t="str">
        <f t="shared" si="3"/>
        <v/>
      </c>
      <c r="M114" s="41" t="str">
        <f t="shared" si="5"/>
        <v/>
      </c>
      <c r="O114" s="13" t="s">
        <v>410</v>
      </c>
    </row>
    <row r="115" spans="3:15">
      <c r="C115" s="20">
        <v>109</v>
      </c>
      <c r="D115" s="27"/>
      <c r="E115" s="13"/>
      <c r="F115" s="13"/>
      <c r="G115" s="13"/>
      <c r="I115" s="32"/>
      <c r="J115" s="31"/>
      <c r="K115" s="31" t="str">
        <f t="shared" si="3"/>
        <v/>
      </c>
      <c r="M115" s="41" t="str">
        <f t="shared" si="5"/>
        <v/>
      </c>
      <c r="O115" s="13" t="s">
        <v>410</v>
      </c>
    </row>
    <row r="116" spans="3:15">
      <c r="C116" s="20">
        <v>110</v>
      </c>
      <c r="D116" s="27"/>
      <c r="E116" s="13"/>
      <c r="F116" s="13"/>
      <c r="G116" s="13"/>
      <c r="I116" s="32"/>
      <c r="J116" s="31"/>
      <c r="K116" s="31" t="str">
        <f t="shared" si="3"/>
        <v/>
      </c>
      <c r="M116" s="41" t="str">
        <f t="shared" si="5"/>
        <v/>
      </c>
      <c r="O116" s="13" t="s">
        <v>410</v>
      </c>
    </row>
    <row r="117" spans="3:15">
      <c r="C117" s="20">
        <v>111</v>
      </c>
      <c r="D117" s="27"/>
      <c r="E117" s="13"/>
      <c r="F117" s="13"/>
      <c r="G117" s="13"/>
      <c r="I117" s="32"/>
      <c r="J117" s="31"/>
      <c r="K117" s="31" t="str">
        <f t="shared" si="3"/>
        <v/>
      </c>
      <c r="M117" s="41" t="str">
        <f t="shared" si="5"/>
        <v/>
      </c>
      <c r="O117" s="13" t="s">
        <v>410</v>
      </c>
    </row>
    <row r="118" spans="3:15">
      <c r="C118" s="20">
        <v>112</v>
      </c>
      <c r="D118" s="27"/>
      <c r="E118" s="13"/>
      <c r="F118" s="13"/>
      <c r="G118" s="13"/>
      <c r="I118" s="32"/>
      <c r="J118" s="31"/>
      <c r="K118" s="31" t="str">
        <f t="shared" si="3"/>
        <v/>
      </c>
      <c r="M118" s="41" t="str">
        <f t="shared" si="5"/>
        <v/>
      </c>
      <c r="O118" s="13" t="s">
        <v>410</v>
      </c>
    </row>
    <row r="119" spans="3:15">
      <c r="C119" s="20">
        <v>113</v>
      </c>
      <c r="D119" s="27"/>
      <c r="E119" s="13"/>
      <c r="F119" s="13"/>
      <c r="G119" s="13"/>
      <c r="I119" s="32"/>
      <c r="J119" s="31"/>
      <c r="K119" s="31" t="str">
        <f t="shared" si="3"/>
        <v/>
      </c>
      <c r="M119" s="41" t="str">
        <f t="shared" si="5"/>
        <v/>
      </c>
      <c r="O119" s="13" t="s">
        <v>410</v>
      </c>
    </row>
    <row r="120" spans="3:15">
      <c r="C120" s="20">
        <v>114</v>
      </c>
      <c r="D120" s="27"/>
      <c r="E120" s="13"/>
      <c r="F120" s="13"/>
      <c r="G120" s="13"/>
      <c r="I120" s="32"/>
      <c r="J120" s="31"/>
      <c r="K120" s="31" t="str">
        <f t="shared" si="3"/>
        <v/>
      </c>
      <c r="M120" s="41" t="str">
        <f t="shared" si="5"/>
        <v/>
      </c>
      <c r="O120" s="13" t="s">
        <v>410</v>
      </c>
    </row>
    <row r="121" spans="3:15">
      <c r="C121" s="20">
        <v>115</v>
      </c>
      <c r="D121" s="27"/>
      <c r="E121" s="13"/>
      <c r="F121" s="13"/>
      <c r="G121" s="13"/>
      <c r="I121" s="32"/>
      <c r="J121" s="31"/>
      <c r="K121" s="31" t="str">
        <f t="shared" si="3"/>
        <v/>
      </c>
      <c r="M121" s="41" t="str">
        <f t="shared" si="5"/>
        <v/>
      </c>
      <c r="O121" s="13" t="s">
        <v>410</v>
      </c>
    </row>
    <row r="122" spans="3:15">
      <c r="C122" s="20">
        <v>116</v>
      </c>
      <c r="D122" s="27"/>
      <c r="E122" s="13"/>
      <c r="F122" s="13"/>
      <c r="G122" s="13"/>
      <c r="I122" s="32"/>
      <c r="J122" s="31"/>
      <c r="K122" s="31" t="str">
        <f t="shared" si="3"/>
        <v/>
      </c>
      <c r="M122" s="41" t="str">
        <f t="shared" si="5"/>
        <v/>
      </c>
      <c r="O122" s="13" t="s">
        <v>410</v>
      </c>
    </row>
    <row r="123" spans="3:15">
      <c r="C123" s="20">
        <v>117</v>
      </c>
      <c r="D123" s="27"/>
      <c r="E123" s="13"/>
      <c r="F123" s="13"/>
      <c r="G123" s="13"/>
      <c r="I123" s="32"/>
      <c r="J123" s="31"/>
      <c r="K123" s="31" t="str">
        <f t="shared" si="3"/>
        <v/>
      </c>
      <c r="M123" s="41" t="str">
        <f t="shared" si="5"/>
        <v/>
      </c>
      <c r="O123" s="13" t="s">
        <v>410</v>
      </c>
    </row>
    <row r="124" spans="3:15">
      <c r="C124" s="20">
        <v>118</v>
      </c>
      <c r="D124" s="27"/>
      <c r="E124" s="13"/>
      <c r="F124" s="13"/>
      <c r="G124" s="13"/>
      <c r="I124" s="32"/>
      <c r="J124" s="31"/>
      <c r="K124" s="31" t="str">
        <f t="shared" si="3"/>
        <v/>
      </c>
      <c r="M124" s="41" t="str">
        <f t="shared" si="5"/>
        <v/>
      </c>
      <c r="O124" s="13" t="s">
        <v>410</v>
      </c>
    </row>
    <row r="125" spans="3:15">
      <c r="C125" s="20">
        <v>119</v>
      </c>
      <c r="D125" s="27"/>
      <c r="E125" s="13"/>
      <c r="F125" s="13"/>
      <c r="G125" s="13"/>
      <c r="I125" s="32"/>
      <c r="J125" s="31"/>
      <c r="K125" s="31" t="str">
        <f t="shared" si="3"/>
        <v/>
      </c>
      <c r="M125" s="41" t="str">
        <f t="shared" si="5"/>
        <v/>
      </c>
      <c r="O125" s="13" t="s">
        <v>410</v>
      </c>
    </row>
    <row r="126" spans="3:15">
      <c r="C126" s="20">
        <v>120</v>
      </c>
      <c r="D126" s="27"/>
      <c r="E126" s="13"/>
      <c r="F126" s="13"/>
      <c r="G126" s="13"/>
      <c r="I126" s="32"/>
      <c r="J126" s="31"/>
      <c r="K126" s="31" t="str">
        <f t="shared" si="3"/>
        <v/>
      </c>
      <c r="M126" s="41" t="str">
        <f t="shared" si="5"/>
        <v/>
      </c>
      <c r="O126" s="13" t="s">
        <v>410</v>
      </c>
    </row>
    <row r="127" spans="3:15">
      <c r="C127" s="20">
        <v>121</v>
      </c>
      <c r="D127" s="27"/>
      <c r="E127" s="13"/>
      <c r="F127" s="13"/>
      <c r="G127" s="13"/>
      <c r="I127" s="32"/>
      <c r="J127" s="31"/>
      <c r="K127" s="31" t="str">
        <f t="shared" si="3"/>
        <v/>
      </c>
      <c r="M127" s="41" t="str">
        <f t="shared" si="5"/>
        <v/>
      </c>
      <c r="O127" s="13" t="s">
        <v>410</v>
      </c>
    </row>
    <row r="128" spans="3:15">
      <c r="C128" s="20">
        <v>122</v>
      </c>
      <c r="D128" s="27"/>
      <c r="E128" s="13"/>
      <c r="F128" s="13"/>
      <c r="G128" s="13"/>
      <c r="I128" s="32"/>
      <c r="J128" s="31"/>
      <c r="K128" s="31" t="str">
        <f t="shared" si="3"/>
        <v/>
      </c>
      <c r="M128" s="41" t="str">
        <f t="shared" si="5"/>
        <v/>
      </c>
      <c r="O128" s="13" t="s">
        <v>410</v>
      </c>
    </row>
    <row r="129" spans="3:15">
      <c r="C129" s="20">
        <v>123</v>
      </c>
      <c r="D129" s="27"/>
      <c r="E129" s="13"/>
      <c r="F129" s="13"/>
      <c r="G129" s="13"/>
      <c r="I129" s="32"/>
      <c r="J129" s="31"/>
      <c r="K129" s="31" t="str">
        <f t="shared" si="3"/>
        <v/>
      </c>
      <c r="M129" s="41" t="str">
        <f t="shared" si="5"/>
        <v/>
      </c>
      <c r="O129" s="13" t="s">
        <v>410</v>
      </c>
    </row>
    <row r="130" spans="3:15">
      <c r="C130" s="20">
        <v>124</v>
      </c>
      <c r="D130" s="27"/>
      <c r="E130" s="13"/>
      <c r="F130" s="13"/>
      <c r="G130" s="13"/>
      <c r="I130" s="32"/>
      <c r="J130" s="31"/>
      <c r="K130" s="31" t="str">
        <f t="shared" si="3"/>
        <v/>
      </c>
      <c r="M130" s="41" t="str">
        <f t="shared" si="5"/>
        <v/>
      </c>
      <c r="O130" s="13" t="s">
        <v>410</v>
      </c>
    </row>
    <row r="131" spans="3:15">
      <c r="C131" s="20">
        <v>125</v>
      </c>
      <c r="D131" s="27"/>
      <c r="E131" s="13"/>
      <c r="F131" s="13"/>
      <c r="G131" s="13"/>
      <c r="I131" s="32"/>
      <c r="J131" s="31"/>
      <c r="K131" s="31" t="str">
        <f t="shared" si="3"/>
        <v/>
      </c>
      <c r="M131" s="41" t="str">
        <f t="shared" si="5"/>
        <v/>
      </c>
      <c r="O131" s="13" t="s">
        <v>410</v>
      </c>
    </row>
    <row r="132" spans="3:15">
      <c r="C132" s="20">
        <v>126</v>
      </c>
      <c r="D132" s="27"/>
      <c r="E132" s="13"/>
      <c r="F132" s="13"/>
      <c r="G132" s="13"/>
      <c r="I132" s="32"/>
      <c r="J132" s="31"/>
      <c r="K132" s="31" t="str">
        <f t="shared" si="3"/>
        <v/>
      </c>
      <c r="M132" s="41" t="str">
        <f t="shared" si="5"/>
        <v/>
      </c>
      <c r="O132" s="13" t="s">
        <v>410</v>
      </c>
    </row>
    <row r="133" spans="3:15">
      <c r="C133" s="20">
        <v>127</v>
      </c>
      <c r="D133" s="27"/>
      <c r="E133" s="13"/>
      <c r="F133" s="13"/>
      <c r="G133" s="13"/>
      <c r="I133" s="32"/>
      <c r="J133" s="31"/>
      <c r="K133" s="31" t="str">
        <f t="shared" si="3"/>
        <v/>
      </c>
      <c r="M133" s="41" t="str">
        <f t="shared" si="5"/>
        <v/>
      </c>
      <c r="O133" s="13" t="s">
        <v>410</v>
      </c>
    </row>
    <row r="134" spans="3:15">
      <c r="C134" s="20">
        <v>128</v>
      </c>
      <c r="D134" s="27"/>
      <c r="E134" s="13"/>
      <c r="F134" s="13"/>
      <c r="G134" s="13"/>
      <c r="I134" s="32"/>
      <c r="J134" s="31"/>
      <c r="K134" s="31" t="str">
        <f t="shared" si="3"/>
        <v/>
      </c>
      <c r="M134" s="41" t="str">
        <f t="shared" si="5"/>
        <v/>
      </c>
      <c r="O134" s="13" t="s">
        <v>410</v>
      </c>
    </row>
    <row r="135" spans="3:15">
      <c r="C135" s="20">
        <v>129</v>
      </c>
      <c r="D135" s="27"/>
      <c r="E135" s="13"/>
      <c r="F135" s="13"/>
      <c r="G135" s="13"/>
      <c r="I135" s="32"/>
      <c r="J135" s="31"/>
      <c r="K135" s="31" t="str">
        <f t="shared" si="3"/>
        <v/>
      </c>
      <c r="M135" s="41" t="str">
        <f t="shared" si="5"/>
        <v/>
      </c>
      <c r="O135" s="13" t="s">
        <v>410</v>
      </c>
    </row>
    <row r="136" spans="3:15">
      <c r="C136" s="20">
        <v>130</v>
      </c>
      <c r="D136" s="27"/>
      <c r="E136" s="13"/>
      <c r="F136" s="13"/>
      <c r="G136" s="13"/>
      <c r="I136" s="32"/>
      <c r="J136" s="31"/>
      <c r="K136" s="31" t="str">
        <f t="shared" ref="K136:K199" si="6">IF(K135="","",IF(K135=K135+J136-I136,"",K135+J136-I136))</f>
        <v/>
      </c>
      <c r="M136" s="41" t="str">
        <f t="shared" ref="M136:M199" si="7">IF(L136="SP-01","パン",IF(L136="SR-01","ご飯もの",IF(L136="SS-01","おかず",IF(L136="SD-01","飲料",IF(L136="ST-01","菓子類",IF(L136="SO-01","その他",IF(L136="MP-01","デスクトップパソコン",IF(L136="ML-01","ノートパソコン",IF(L136="MP-02","パソコンパーツ",IF(L136="MP-03","パソコン周辺機器",IF(L136="MS-01","スマートフォン本体",IF(L136="MT-01","タブレット本体",IF(L136="MM-01","携帯電話本体",IF(L136="MC-01","充電器",IF(L136="MC-02","カメラ",IF(L136="ME-01","家電",IF(L136="MA-01","オーディオ機器",IF(L136="MH-01","電気工具",IF(L136="MO-01","その他",IF(L136="DC-01","洋服",IF(L136="DS-01","靴",IF(L136="DW-01","時計",IF(L136="DA-01","アクセサリー",IF(L136="DO-01","その他",IF(L136="SD-01","食器",IF(L136="SF-01","家具",IF(L136="SB-01","寝具",IF(L136="SS-01","小物",IF(L136="SO-01","その他",IF(L136="OS-01","筆記具",IF(L136="ON-01","ノート",IF(L136="OR-01","ルーズリーフ",IF(L136="OM-01","工具",IF(L136="OO-01","その他",IF(L136="BN-01","小説",IF(L136="BN-02","新書",IF(L136="BM-01","雑誌",IF(L136="BC-01","漫画",IF(L136="BE-01","教育",IF(L136="BO-01","その他",IF(L136="CI-01","交通ICカード",IF(L136="CC-01","電子マネー",IF(L136="CC-02","クラウド課金",IF(L136="CG-01","ゲーム課金",IF(L136="CO-01","その他",IF(L136="IS-01","給与",IF(L136="IB-01","償却業務",IF(L136="IO-01","その他",IF(L136="AA-01","調整",IF(L136="AS-01","機密",IF(L136="AO-01","その他","")))))))))))))))))))))))))))))))))))))))))))))))))))</f>
        <v/>
      </c>
      <c r="O136" s="13" t="s">
        <v>410</v>
      </c>
    </row>
    <row r="137" spans="3:15">
      <c r="C137" s="20">
        <v>131</v>
      </c>
      <c r="D137" s="27"/>
      <c r="E137" s="13"/>
      <c r="F137" s="13"/>
      <c r="G137" s="13"/>
      <c r="I137" s="32"/>
      <c r="J137" s="31"/>
      <c r="K137" s="31" t="str">
        <f t="shared" si="6"/>
        <v/>
      </c>
      <c r="M137" s="41" t="str">
        <f t="shared" si="7"/>
        <v/>
      </c>
      <c r="O137" s="13" t="s">
        <v>410</v>
      </c>
    </row>
    <row r="138" spans="3:15">
      <c r="C138" s="20">
        <v>132</v>
      </c>
      <c r="D138" s="27"/>
      <c r="E138" s="13"/>
      <c r="F138" s="13"/>
      <c r="G138" s="13"/>
      <c r="I138" s="32"/>
      <c r="J138" s="31"/>
      <c r="K138" s="31" t="str">
        <f t="shared" si="6"/>
        <v/>
      </c>
      <c r="M138" s="41" t="str">
        <f t="shared" si="7"/>
        <v/>
      </c>
      <c r="O138" s="13" t="s">
        <v>410</v>
      </c>
    </row>
    <row r="139" spans="3:15">
      <c r="C139" s="20">
        <v>133</v>
      </c>
      <c r="D139" s="27"/>
      <c r="E139" s="13"/>
      <c r="F139" s="13"/>
      <c r="G139" s="13"/>
      <c r="I139" s="32"/>
      <c r="J139" s="31"/>
      <c r="K139" s="31" t="str">
        <f t="shared" si="6"/>
        <v/>
      </c>
      <c r="M139" s="41" t="str">
        <f t="shared" si="7"/>
        <v/>
      </c>
      <c r="O139" s="13" t="s">
        <v>410</v>
      </c>
    </row>
    <row r="140" spans="3:15">
      <c r="C140" s="20">
        <v>134</v>
      </c>
      <c r="D140" s="27"/>
      <c r="E140" s="13"/>
      <c r="F140" s="13"/>
      <c r="G140" s="13"/>
      <c r="I140" s="32"/>
      <c r="J140" s="31"/>
      <c r="K140" s="31" t="str">
        <f t="shared" si="6"/>
        <v/>
      </c>
      <c r="M140" s="41" t="str">
        <f t="shared" si="7"/>
        <v/>
      </c>
      <c r="O140" s="13" t="s">
        <v>410</v>
      </c>
    </row>
    <row r="141" spans="3:15">
      <c r="C141" s="20">
        <v>135</v>
      </c>
      <c r="D141" s="27"/>
      <c r="E141" s="13"/>
      <c r="F141" s="13"/>
      <c r="G141" s="13"/>
      <c r="I141" s="32"/>
      <c r="J141" s="31"/>
      <c r="K141" s="31" t="str">
        <f t="shared" si="6"/>
        <v/>
      </c>
      <c r="M141" s="41" t="str">
        <f t="shared" si="7"/>
        <v/>
      </c>
      <c r="O141" s="13" t="s">
        <v>410</v>
      </c>
    </row>
    <row r="142" spans="3:15">
      <c r="C142" s="20">
        <v>136</v>
      </c>
      <c r="D142" s="27"/>
      <c r="E142" s="13"/>
      <c r="F142" s="13"/>
      <c r="G142" s="13"/>
      <c r="I142" s="32"/>
      <c r="J142" s="31"/>
      <c r="K142" s="31" t="str">
        <f t="shared" si="6"/>
        <v/>
      </c>
      <c r="M142" s="41" t="str">
        <f t="shared" si="7"/>
        <v/>
      </c>
      <c r="O142" s="13" t="s">
        <v>410</v>
      </c>
    </row>
    <row r="143" spans="3:15">
      <c r="C143" s="20">
        <v>137</v>
      </c>
      <c r="D143" s="27"/>
      <c r="E143" s="13"/>
      <c r="F143" s="13"/>
      <c r="G143" s="13"/>
      <c r="I143" s="32"/>
      <c r="J143" s="31"/>
      <c r="K143" s="31" t="str">
        <f t="shared" si="6"/>
        <v/>
      </c>
      <c r="M143" s="41" t="str">
        <f t="shared" si="7"/>
        <v/>
      </c>
      <c r="O143" s="13" t="s">
        <v>410</v>
      </c>
    </row>
    <row r="144" spans="3:15">
      <c r="C144" s="20">
        <v>138</v>
      </c>
      <c r="D144" s="27"/>
      <c r="E144" s="13"/>
      <c r="F144" s="13"/>
      <c r="G144" s="13"/>
      <c r="I144" s="32"/>
      <c r="J144" s="31"/>
      <c r="K144" s="31" t="str">
        <f t="shared" si="6"/>
        <v/>
      </c>
      <c r="M144" s="41" t="str">
        <f t="shared" si="7"/>
        <v/>
      </c>
      <c r="O144" s="13" t="s">
        <v>410</v>
      </c>
    </row>
    <row r="145" spans="3:15">
      <c r="C145" s="20">
        <v>139</v>
      </c>
      <c r="D145" s="27"/>
      <c r="E145" s="13"/>
      <c r="F145" s="13"/>
      <c r="G145" s="13"/>
      <c r="I145" s="32"/>
      <c r="J145" s="31"/>
      <c r="K145" s="31" t="str">
        <f t="shared" si="6"/>
        <v/>
      </c>
      <c r="M145" s="41" t="str">
        <f t="shared" si="7"/>
        <v/>
      </c>
      <c r="O145" s="13" t="s">
        <v>410</v>
      </c>
    </row>
    <row r="146" spans="3:15">
      <c r="C146" s="20">
        <v>140</v>
      </c>
      <c r="D146" s="27"/>
      <c r="E146" s="13"/>
      <c r="F146" s="13"/>
      <c r="G146" s="13"/>
      <c r="I146" s="32"/>
      <c r="J146" s="31"/>
      <c r="K146" s="31" t="str">
        <f t="shared" si="6"/>
        <v/>
      </c>
      <c r="M146" s="41" t="str">
        <f t="shared" si="7"/>
        <v/>
      </c>
      <c r="O146" s="13" t="s">
        <v>410</v>
      </c>
    </row>
    <row r="147" spans="3:15">
      <c r="C147" s="20">
        <v>141</v>
      </c>
      <c r="D147" s="27"/>
      <c r="E147" s="13"/>
      <c r="F147" s="13"/>
      <c r="G147" s="13"/>
      <c r="I147" s="32"/>
      <c r="J147" s="31"/>
      <c r="K147" s="31" t="str">
        <f t="shared" si="6"/>
        <v/>
      </c>
      <c r="M147" s="41" t="str">
        <f t="shared" si="7"/>
        <v/>
      </c>
      <c r="O147" s="13" t="s">
        <v>410</v>
      </c>
    </row>
    <row r="148" spans="3:15">
      <c r="C148" s="20">
        <v>142</v>
      </c>
      <c r="D148" s="27"/>
      <c r="E148" s="13"/>
      <c r="F148" s="13"/>
      <c r="G148" s="13"/>
      <c r="I148" s="32"/>
      <c r="J148" s="31"/>
      <c r="K148" s="31" t="str">
        <f t="shared" si="6"/>
        <v/>
      </c>
      <c r="M148" s="41" t="str">
        <f t="shared" si="7"/>
        <v/>
      </c>
      <c r="O148" s="13" t="s">
        <v>410</v>
      </c>
    </row>
    <row r="149" spans="3:15">
      <c r="C149" s="20">
        <v>143</v>
      </c>
      <c r="D149" s="27"/>
      <c r="E149" s="13"/>
      <c r="F149" s="13"/>
      <c r="G149" s="13"/>
      <c r="I149" s="32"/>
      <c r="J149" s="31"/>
      <c r="K149" s="31" t="str">
        <f t="shared" si="6"/>
        <v/>
      </c>
      <c r="M149" s="41" t="str">
        <f t="shared" si="7"/>
        <v/>
      </c>
      <c r="O149" s="13" t="s">
        <v>410</v>
      </c>
    </row>
    <row r="150" spans="3:15">
      <c r="C150" s="20">
        <v>144</v>
      </c>
      <c r="D150" s="27"/>
      <c r="E150" s="13"/>
      <c r="F150" s="13"/>
      <c r="G150" s="13"/>
      <c r="I150" s="32"/>
      <c r="J150" s="31"/>
      <c r="K150" s="31" t="str">
        <f t="shared" si="6"/>
        <v/>
      </c>
      <c r="M150" s="41" t="str">
        <f t="shared" si="7"/>
        <v/>
      </c>
      <c r="O150" s="13" t="s">
        <v>410</v>
      </c>
    </row>
    <row r="151" spans="3:15">
      <c r="C151" s="20">
        <v>145</v>
      </c>
      <c r="D151" s="27"/>
      <c r="E151" s="13"/>
      <c r="F151" s="13"/>
      <c r="G151" s="13"/>
      <c r="I151" s="32"/>
      <c r="J151" s="31"/>
      <c r="K151" s="31" t="str">
        <f t="shared" si="6"/>
        <v/>
      </c>
      <c r="M151" s="41" t="str">
        <f t="shared" si="7"/>
        <v/>
      </c>
      <c r="O151" s="13" t="s">
        <v>410</v>
      </c>
    </row>
    <row r="152" spans="3:15">
      <c r="C152" s="20">
        <v>146</v>
      </c>
      <c r="D152" s="27"/>
      <c r="E152" s="13"/>
      <c r="F152" s="13"/>
      <c r="G152" s="13"/>
      <c r="I152" s="32"/>
      <c r="J152" s="31"/>
      <c r="K152" s="31" t="str">
        <f t="shared" si="6"/>
        <v/>
      </c>
      <c r="M152" s="41" t="str">
        <f t="shared" si="7"/>
        <v/>
      </c>
      <c r="O152" s="13" t="s">
        <v>410</v>
      </c>
    </row>
    <row r="153" spans="3:15">
      <c r="C153" s="20">
        <v>147</v>
      </c>
      <c r="D153" s="27"/>
      <c r="E153" s="13"/>
      <c r="F153" s="13"/>
      <c r="G153" s="13"/>
      <c r="I153" s="32"/>
      <c r="J153" s="31"/>
      <c r="K153" s="31" t="str">
        <f t="shared" si="6"/>
        <v/>
      </c>
      <c r="M153" s="41" t="str">
        <f t="shared" si="7"/>
        <v/>
      </c>
      <c r="O153" s="13" t="s">
        <v>410</v>
      </c>
    </row>
    <row r="154" spans="3:15">
      <c r="C154" s="20">
        <v>148</v>
      </c>
      <c r="D154" s="27"/>
      <c r="E154" s="13"/>
      <c r="F154" s="13"/>
      <c r="G154" s="13"/>
      <c r="I154" s="32"/>
      <c r="J154" s="31"/>
      <c r="K154" s="31" t="str">
        <f t="shared" si="6"/>
        <v/>
      </c>
      <c r="M154" s="41" t="str">
        <f t="shared" si="7"/>
        <v/>
      </c>
      <c r="O154" s="13" t="s">
        <v>410</v>
      </c>
    </row>
    <row r="155" spans="3:15">
      <c r="C155" s="20">
        <v>149</v>
      </c>
      <c r="D155" s="27"/>
      <c r="E155" s="13"/>
      <c r="F155" s="13"/>
      <c r="G155" s="13"/>
      <c r="I155" s="32"/>
      <c r="J155" s="31"/>
      <c r="K155" s="31" t="str">
        <f t="shared" si="6"/>
        <v/>
      </c>
      <c r="M155" s="41" t="str">
        <f t="shared" si="7"/>
        <v/>
      </c>
      <c r="O155" s="13" t="s">
        <v>410</v>
      </c>
    </row>
    <row r="156" spans="3:15">
      <c r="C156" s="20">
        <v>150</v>
      </c>
      <c r="D156" s="27"/>
      <c r="E156" s="13"/>
      <c r="F156" s="13"/>
      <c r="G156" s="13"/>
      <c r="I156" s="32"/>
      <c r="J156" s="31"/>
      <c r="K156" s="31" t="str">
        <f t="shared" si="6"/>
        <v/>
      </c>
      <c r="M156" s="41" t="str">
        <f t="shared" si="7"/>
        <v/>
      </c>
      <c r="O156" s="13" t="s">
        <v>410</v>
      </c>
    </row>
    <row r="157" spans="3:15">
      <c r="C157" s="20">
        <v>151</v>
      </c>
      <c r="D157" s="27"/>
      <c r="E157" s="13"/>
      <c r="F157" s="13"/>
      <c r="G157" s="13"/>
      <c r="I157" s="32"/>
      <c r="J157" s="31"/>
      <c r="K157" s="31" t="str">
        <f t="shared" si="6"/>
        <v/>
      </c>
      <c r="M157" s="41" t="str">
        <f t="shared" si="7"/>
        <v/>
      </c>
      <c r="O157" s="13" t="s">
        <v>410</v>
      </c>
    </row>
    <row r="158" spans="3:15">
      <c r="C158" s="20">
        <v>152</v>
      </c>
      <c r="D158" s="27"/>
      <c r="E158" s="13"/>
      <c r="F158" s="13"/>
      <c r="G158" s="13"/>
      <c r="I158" s="32"/>
      <c r="J158" s="31"/>
      <c r="K158" s="31" t="str">
        <f t="shared" si="6"/>
        <v/>
      </c>
      <c r="M158" s="41" t="str">
        <f t="shared" si="7"/>
        <v/>
      </c>
      <c r="O158" s="13" t="s">
        <v>410</v>
      </c>
    </row>
    <row r="159" spans="3:15">
      <c r="C159" s="20">
        <v>153</v>
      </c>
      <c r="D159" s="27"/>
      <c r="E159" s="13"/>
      <c r="F159" s="13"/>
      <c r="G159" s="13"/>
      <c r="I159" s="32"/>
      <c r="J159" s="31"/>
      <c r="K159" s="31" t="str">
        <f t="shared" si="6"/>
        <v/>
      </c>
      <c r="M159" s="41" t="str">
        <f t="shared" si="7"/>
        <v/>
      </c>
      <c r="O159" s="13" t="s">
        <v>410</v>
      </c>
    </row>
    <row r="160" spans="3:15">
      <c r="C160" s="20">
        <v>154</v>
      </c>
      <c r="D160" s="27"/>
      <c r="E160" s="13"/>
      <c r="F160" s="13"/>
      <c r="G160" s="13"/>
      <c r="I160" s="32"/>
      <c r="J160" s="31"/>
      <c r="K160" s="31" t="str">
        <f t="shared" si="6"/>
        <v/>
      </c>
      <c r="M160" s="41" t="str">
        <f t="shared" si="7"/>
        <v/>
      </c>
      <c r="O160" s="13" t="s">
        <v>410</v>
      </c>
    </row>
    <row r="161" spans="3:15">
      <c r="C161" s="20">
        <v>155</v>
      </c>
      <c r="D161" s="27"/>
      <c r="E161" s="13"/>
      <c r="F161" s="13"/>
      <c r="G161" s="13"/>
      <c r="I161" s="32"/>
      <c r="J161" s="31"/>
      <c r="K161" s="31" t="str">
        <f t="shared" si="6"/>
        <v/>
      </c>
      <c r="M161" s="41" t="str">
        <f t="shared" si="7"/>
        <v/>
      </c>
      <c r="O161" s="13" t="s">
        <v>410</v>
      </c>
    </row>
    <row r="162" spans="3:15">
      <c r="C162" s="20">
        <v>156</v>
      </c>
      <c r="D162" s="27"/>
      <c r="E162" s="13"/>
      <c r="F162" s="13"/>
      <c r="G162" s="13"/>
      <c r="I162" s="32"/>
      <c r="J162" s="31"/>
      <c r="K162" s="31" t="str">
        <f t="shared" si="6"/>
        <v/>
      </c>
      <c r="M162" s="41" t="str">
        <f t="shared" si="7"/>
        <v/>
      </c>
      <c r="O162" s="13" t="s">
        <v>410</v>
      </c>
    </row>
    <row r="163" spans="3:15">
      <c r="C163" s="20">
        <v>157</v>
      </c>
      <c r="D163" s="27"/>
      <c r="E163" s="13"/>
      <c r="F163" s="13"/>
      <c r="G163" s="13"/>
      <c r="I163" s="32"/>
      <c r="J163" s="31"/>
      <c r="K163" s="31" t="str">
        <f t="shared" si="6"/>
        <v/>
      </c>
      <c r="M163" s="41" t="str">
        <f t="shared" si="7"/>
        <v/>
      </c>
      <c r="O163" s="13" t="s">
        <v>410</v>
      </c>
    </row>
    <row r="164" spans="3:15">
      <c r="C164" s="20">
        <v>158</v>
      </c>
      <c r="D164" s="27"/>
      <c r="E164" s="13"/>
      <c r="F164" s="13"/>
      <c r="G164" s="13"/>
      <c r="I164" s="32"/>
      <c r="J164" s="31"/>
      <c r="K164" s="31" t="str">
        <f t="shared" si="6"/>
        <v/>
      </c>
      <c r="M164" s="41" t="str">
        <f t="shared" si="7"/>
        <v/>
      </c>
      <c r="O164" s="13" t="s">
        <v>410</v>
      </c>
    </row>
    <row r="165" spans="3:15">
      <c r="C165" s="20">
        <v>159</v>
      </c>
      <c r="D165" s="27"/>
      <c r="E165" s="13"/>
      <c r="F165" s="13"/>
      <c r="G165" s="13"/>
      <c r="I165" s="32"/>
      <c r="J165" s="31"/>
      <c r="K165" s="31" t="str">
        <f t="shared" si="6"/>
        <v/>
      </c>
      <c r="M165" s="41" t="str">
        <f t="shared" si="7"/>
        <v/>
      </c>
      <c r="O165" s="13" t="s">
        <v>410</v>
      </c>
    </row>
    <row r="166" spans="3:15">
      <c r="C166" s="20">
        <v>160</v>
      </c>
      <c r="D166" s="27"/>
      <c r="E166" s="13"/>
      <c r="F166" s="13"/>
      <c r="G166" s="13"/>
      <c r="I166" s="32"/>
      <c r="J166" s="31"/>
      <c r="K166" s="31" t="str">
        <f t="shared" si="6"/>
        <v/>
      </c>
      <c r="M166" s="41" t="str">
        <f t="shared" si="7"/>
        <v/>
      </c>
      <c r="O166" s="13" t="s">
        <v>410</v>
      </c>
    </row>
    <row r="167" spans="3:15">
      <c r="C167" s="20">
        <v>161</v>
      </c>
      <c r="D167" s="27"/>
      <c r="E167" s="13"/>
      <c r="F167" s="13"/>
      <c r="G167" s="13"/>
      <c r="I167" s="32"/>
      <c r="J167" s="31"/>
      <c r="K167" s="31" t="str">
        <f t="shared" si="6"/>
        <v/>
      </c>
      <c r="M167" s="41" t="str">
        <f t="shared" si="7"/>
        <v/>
      </c>
      <c r="O167" s="13" t="s">
        <v>410</v>
      </c>
    </row>
    <row r="168" spans="3:15">
      <c r="C168" s="20">
        <v>162</v>
      </c>
      <c r="D168" s="27"/>
      <c r="E168" s="13"/>
      <c r="F168" s="13"/>
      <c r="G168" s="13"/>
      <c r="I168" s="32"/>
      <c r="J168" s="31"/>
      <c r="K168" s="31" t="str">
        <f t="shared" si="6"/>
        <v/>
      </c>
      <c r="M168" s="41" t="str">
        <f t="shared" si="7"/>
        <v/>
      </c>
      <c r="O168" s="13" t="s">
        <v>410</v>
      </c>
    </row>
    <row r="169" spans="3:15">
      <c r="C169" s="20">
        <v>163</v>
      </c>
      <c r="D169" s="27"/>
      <c r="E169" s="13"/>
      <c r="F169" s="13"/>
      <c r="G169" s="13"/>
      <c r="I169" s="32"/>
      <c r="J169" s="31"/>
      <c r="K169" s="31" t="str">
        <f t="shared" si="6"/>
        <v/>
      </c>
      <c r="M169" s="41" t="str">
        <f t="shared" si="7"/>
        <v/>
      </c>
      <c r="O169" s="13" t="s">
        <v>410</v>
      </c>
    </row>
    <row r="170" spans="3:15">
      <c r="C170" s="20">
        <v>164</v>
      </c>
      <c r="D170" s="27"/>
      <c r="E170" s="13"/>
      <c r="F170" s="13"/>
      <c r="G170" s="13"/>
      <c r="I170" s="32"/>
      <c r="J170" s="31"/>
      <c r="K170" s="31" t="str">
        <f t="shared" si="6"/>
        <v/>
      </c>
      <c r="M170" s="41" t="str">
        <f t="shared" si="7"/>
        <v/>
      </c>
      <c r="O170" s="13" t="s">
        <v>410</v>
      </c>
    </row>
    <row r="171" spans="3:15">
      <c r="C171" s="20">
        <v>165</v>
      </c>
      <c r="D171" s="27"/>
      <c r="E171" s="13"/>
      <c r="F171" s="13"/>
      <c r="G171" s="13"/>
      <c r="I171" s="32"/>
      <c r="J171" s="31"/>
      <c r="K171" s="31" t="str">
        <f t="shared" si="6"/>
        <v/>
      </c>
      <c r="M171" s="41" t="str">
        <f t="shared" si="7"/>
        <v/>
      </c>
      <c r="O171" s="13" t="s">
        <v>410</v>
      </c>
    </row>
    <row r="172" spans="3:15">
      <c r="C172" s="20">
        <v>166</v>
      </c>
      <c r="D172" s="27"/>
      <c r="E172" s="13"/>
      <c r="F172" s="13"/>
      <c r="G172" s="13"/>
      <c r="I172" s="32"/>
      <c r="J172" s="31"/>
      <c r="K172" s="31" t="str">
        <f t="shared" si="6"/>
        <v/>
      </c>
      <c r="M172" s="41" t="str">
        <f t="shared" si="7"/>
        <v/>
      </c>
      <c r="O172" s="13" t="s">
        <v>410</v>
      </c>
    </row>
    <row r="173" spans="3:15">
      <c r="C173" s="20">
        <v>167</v>
      </c>
      <c r="D173" s="27"/>
      <c r="E173" s="13"/>
      <c r="F173" s="13"/>
      <c r="G173" s="13"/>
      <c r="I173" s="32"/>
      <c r="J173" s="31"/>
      <c r="K173" s="31" t="str">
        <f t="shared" si="6"/>
        <v/>
      </c>
      <c r="M173" s="41" t="str">
        <f t="shared" si="7"/>
        <v/>
      </c>
      <c r="O173" s="13" t="s">
        <v>410</v>
      </c>
    </row>
    <row r="174" spans="3:15">
      <c r="C174" s="20">
        <v>168</v>
      </c>
      <c r="D174" s="27"/>
      <c r="E174" s="13"/>
      <c r="F174" s="13"/>
      <c r="G174" s="13"/>
      <c r="I174" s="32"/>
      <c r="J174" s="31"/>
      <c r="K174" s="31" t="str">
        <f t="shared" si="6"/>
        <v/>
      </c>
      <c r="M174" s="41" t="str">
        <f t="shared" si="7"/>
        <v/>
      </c>
      <c r="O174" s="13" t="s">
        <v>410</v>
      </c>
    </row>
    <row r="175" spans="3:15">
      <c r="C175" s="20">
        <v>169</v>
      </c>
      <c r="D175" s="27"/>
      <c r="E175" s="13"/>
      <c r="F175" s="13"/>
      <c r="G175" s="13"/>
      <c r="I175" s="32"/>
      <c r="J175" s="31"/>
      <c r="K175" s="31" t="str">
        <f t="shared" si="6"/>
        <v/>
      </c>
      <c r="M175" s="41" t="str">
        <f t="shared" si="7"/>
        <v/>
      </c>
      <c r="O175" s="13" t="s">
        <v>410</v>
      </c>
    </row>
    <row r="176" spans="3:15">
      <c r="C176" s="20">
        <v>170</v>
      </c>
      <c r="D176" s="27"/>
      <c r="E176" s="13"/>
      <c r="F176" s="13"/>
      <c r="G176" s="13"/>
      <c r="I176" s="32"/>
      <c r="J176" s="31"/>
      <c r="K176" s="31" t="str">
        <f t="shared" si="6"/>
        <v/>
      </c>
      <c r="M176" s="41" t="str">
        <f t="shared" si="7"/>
        <v/>
      </c>
      <c r="O176" s="13" t="s">
        <v>410</v>
      </c>
    </row>
    <row r="177" spans="3:15">
      <c r="C177" s="20">
        <v>171</v>
      </c>
      <c r="D177" s="27"/>
      <c r="E177" s="13"/>
      <c r="F177" s="13"/>
      <c r="G177" s="13"/>
      <c r="I177" s="32"/>
      <c r="J177" s="31"/>
      <c r="K177" s="31" t="str">
        <f t="shared" si="6"/>
        <v/>
      </c>
      <c r="M177" s="41" t="str">
        <f t="shared" si="7"/>
        <v/>
      </c>
      <c r="O177" s="13" t="s">
        <v>410</v>
      </c>
    </row>
    <row r="178" spans="3:15">
      <c r="C178" s="20">
        <v>172</v>
      </c>
      <c r="D178" s="27"/>
      <c r="E178" s="13"/>
      <c r="F178" s="13"/>
      <c r="G178" s="13"/>
      <c r="I178" s="32"/>
      <c r="J178" s="31"/>
      <c r="K178" s="31" t="str">
        <f t="shared" si="6"/>
        <v/>
      </c>
      <c r="M178" s="41" t="str">
        <f t="shared" si="7"/>
        <v/>
      </c>
      <c r="O178" s="13" t="s">
        <v>410</v>
      </c>
    </row>
    <row r="179" spans="3:15">
      <c r="C179" s="20">
        <v>173</v>
      </c>
      <c r="D179" s="27"/>
      <c r="E179" s="13"/>
      <c r="F179" s="13"/>
      <c r="G179" s="13"/>
      <c r="I179" s="32"/>
      <c r="J179" s="31"/>
      <c r="K179" s="31" t="str">
        <f t="shared" si="6"/>
        <v/>
      </c>
      <c r="M179" s="41" t="str">
        <f t="shared" si="7"/>
        <v/>
      </c>
      <c r="O179" s="13" t="s">
        <v>410</v>
      </c>
    </row>
    <row r="180" spans="3:15">
      <c r="C180" s="20">
        <v>174</v>
      </c>
      <c r="D180" s="24"/>
      <c r="I180" s="32"/>
      <c r="J180" s="31"/>
      <c r="K180" s="31" t="str">
        <f t="shared" si="6"/>
        <v/>
      </c>
      <c r="M180" s="41" t="str">
        <f t="shared" si="7"/>
        <v/>
      </c>
      <c r="O180" s="13" t="s">
        <v>410</v>
      </c>
    </row>
    <row r="181" spans="3:15">
      <c r="C181" s="20">
        <v>175</v>
      </c>
      <c r="D181" s="24"/>
      <c r="I181" s="32"/>
      <c r="J181" s="31"/>
      <c r="K181" s="31" t="str">
        <f t="shared" si="6"/>
        <v/>
      </c>
      <c r="M181" s="41" t="str">
        <f t="shared" si="7"/>
        <v/>
      </c>
      <c r="O181" s="13" t="s">
        <v>410</v>
      </c>
    </row>
    <row r="182" spans="3:15">
      <c r="C182" s="20">
        <v>176</v>
      </c>
      <c r="D182" s="24"/>
      <c r="I182" s="32"/>
      <c r="J182" s="31"/>
      <c r="K182" s="31" t="str">
        <f t="shared" si="6"/>
        <v/>
      </c>
      <c r="M182" s="41" t="str">
        <f t="shared" si="7"/>
        <v/>
      </c>
      <c r="O182" s="13" t="s">
        <v>410</v>
      </c>
    </row>
    <row r="183" spans="3:15">
      <c r="C183" s="20">
        <v>177</v>
      </c>
      <c r="D183" s="24"/>
      <c r="I183" s="32"/>
      <c r="J183" s="31"/>
      <c r="K183" s="31" t="str">
        <f t="shared" si="6"/>
        <v/>
      </c>
      <c r="M183" s="41" t="str">
        <f t="shared" si="7"/>
        <v/>
      </c>
      <c r="O183" s="13" t="s">
        <v>410</v>
      </c>
    </row>
    <row r="184" spans="3:15">
      <c r="C184" s="20">
        <v>178</v>
      </c>
      <c r="D184" s="24"/>
      <c r="I184" s="32"/>
      <c r="J184" s="31"/>
      <c r="K184" s="31" t="str">
        <f t="shared" si="6"/>
        <v/>
      </c>
      <c r="M184" s="41" t="str">
        <f t="shared" si="7"/>
        <v/>
      </c>
      <c r="O184" s="13" t="s">
        <v>410</v>
      </c>
    </row>
    <row r="185" spans="3:15">
      <c r="C185" s="20">
        <v>179</v>
      </c>
      <c r="D185" s="24"/>
      <c r="I185" s="32"/>
      <c r="J185" s="31"/>
      <c r="K185" s="31" t="str">
        <f t="shared" si="6"/>
        <v/>
      </c>
      <c r="M185" s="41" t="str">
        <f t="shared" si="7"/>
        <v/>
      </c>
      <c r="O185" s="13" t="s">
        <v>410</v>
      </c>
    </row>
    <row r="186" spans="3:15">
      <c r="C186" s="20">
        <v>180</v>
      </c>
      <c r="D186" s="24"/>
      <c r="I186" s="32"/>
      <c r="J186" s="31"/>
      <c r="K186" s="31" t="str">
        <f t="shared" si="6"/>
        <v/>
      </c>
      <c r="M186" s="41" t="str">
        <f t="shared" si="7"/>
        <v/>
      </c>
      <c r="O186" s="13" t="s">
        <v>410</v>
      </c>
    </row>
    <row r="187" spans="3:15">
      <c r="C187" s="20">
        <v>181</v>
      </c>
      <c r="D187" s="24"/>
      <c r="I187" s="32"/>
      <c r="J187" s="31"/>
      <c r="K187" s="31" t="str">
        <f t="shared" si="6"/>
        <v/>
      </c>
      <c r="M187" s="41" t="str">
        <f t="shared" si="7"/>
        <v/>
      </c>
      <c r="O187" s="13" t="s">
        <v>410</v>
      </c>
    </row>
    <row r="188" spans="3:15">
      <c r="C188" s="20">
        <v>182</v>
      </c>
      <c r="D188" s="24"/>
      <c r="I188" s="32"/>
      <c r="J188" s="31"/>
      <c r="K188" s="31" t="str">
        <f t="shared" si="6"/>
        <v/>
      </c>
      <c r="M188" s="41" t="str">
        <f t="shared" si="7"/>
        <v/>
      </c>
      <c r="O188" s="13" t="s">
        <v>410</v>
      </c>
    </row>
    <row r="189" spans="3:15">
      <c r="C189" s="20">
        <v>183</v>
      </c>
      <c r="D189" s="24"/>
      <c r="I189" s="32"/>
      <c r="J189" s="31"/>
      <c r="K189" s="31" t="str">
        <f t="shared" si="6"/>
        <v/>
      </c>
      <c r="M189" s="41" t="str">
        <f t="shared" si="7"/>
        <v/>
      </c>
      <c r="O189" s="13" t="s">
        <v>410</v>
      </c>
    </row>
    <row r="190" spans="3:15">
      <c r="C190" s="20">
        <v>184</v>
      </c>
      <c r="D190" s="24"/>
      <c r="I190" s="32"/>
      <c r="J190" s="31"/>
      <c r="K190" s="31" t="str">
        <f t="shared" si="6"/>
        <v/>
      </c>
      <c r="M190" s="41" t="str">
        <f t="shared" si="7"/>
        <v/>
      </c>
      <c r="O190" s="13" t="s">
        <v>410</v>
      </c>
    </row>
    <row r="191" spans="3:15">
      <c r="C191" s="20">
        <v>185</v>
      </c>
      <c r="D191" s="24"/>
      <c r="I191" s="31"/>
      <c r="J191" s="31"/>
      <c r="K191" s="31" t="str">
        <f t="shared" si="6"/>
        <v/>
      </c>
      <c r="M191" s="41" t="str">
        <f t="shared" si="7"/>
        <v/>
      </c>
      <c r="O191" s="13" t="s">
        <v>410</v>
      </c>
    </row>
    <row r="192" spans="3:15">
      <c r="C192" s="20">
        <v>186</v>
      </c>
      <c r="D192" s="24"/>
      <c r="I192" s="31"/>
      <c r="J192" s="31"/>
      <c r="K192" s="31" t="str">
        <f t="shared" si="6"/>
        <v/>
      </c>
      <c r="M192" s="41" t="str">
        <f t="shared" si="7"/>
        <v/>
      </c>
      <c r="O192" s="13" t="s">
        <v>410</v>
      </c>
    </row>
    <row r="193" spans="3:15">
      <c r="C193" s="20">
        <v>187</v>
      </c>
      <c r="D193" s="24"/>
      <c r="I193" s="31"/>
      <c r="J193" s="31"/>
      <c r="K193" s="31" t="str">
        <f t="shared" si="6"/>
        <v/>
      </c>
      <c r="M193" s="41" t="str">
        <f t="shared" si="7"/>
        <v/>
      </c>
      <c r="O193" s="13" t="s">
        <v>410</v>
      </c>
    </row>
    <row r="194" spans="3:15">
      <c r="C194" s="20">
        <v>188</v>
      </c>
      <c r="D194" s="24"/>
      <c r="I194" s="31"/>
      <c r="J194" s="31"/>
      <c r="K194" s="31" t="str">
        <f t="shared" si="6"/>
        <v/>
      </c>
      <c r="M194" s="41" t="str">
        <f t="shared" si="7"/>
        <v/>
      </c>
      <c r="O194" s="13" t="s">
        <v>410</v>
      </c>
    </row>
    <row r="195" spans="3:15">
      <c r="C195" s="20">
        <v>189</v>
      </c>
      <c r="D195" s="24"/>
      <c r="I195" s="31"/>
      <c r="J195" s="31"/>
      <c r="K195" s="31" t="str">
        <f t="shared" si="6"/>
        <v/>
      </c>
      <c r="M195" s="41" t="str">
        <f t="shared" si="7"/>
        <v/>
      </c>
      <c r="O195" s="13" t="s">
        <v>410</v>
      </c>
    </row>
    <row r="196" spans="3:15">
      <c r="C196" s="20">
        <v>190</v>
      </c>
      <c r="D196" s="24"/>
      <c r="I196" s="31"/>
      <c r="J196" s="31"/>
      <c r="K196" s="31" t="str">
        <f t="shared" si="6"/>
        <v/>
      </c>
      <c r="M196" s="41" t="str">
        <f t="shared" si="7"/>
        <v/>
      </c>
      <c r="O196" s="13" t="s">
        <v>410</v>
      </c>
    </row>
    <row r="197" spans="3:15">
      <c r="C197" s="20">
        <v>191</v>
      </c>
      <c r="D197" s="24"/>
      <c r="I197" s="31"/>
      <c r="J197" s="31"/>
      <c r="K197" s="31" t="str">
        <f t="shared" si="6"/>
        <v/>
      </c>
      <c r="M197" s="41" t="str">
        <f t="shared" si="7"/>
        <v/>
      </c>
      <c r="O197" s="13" t="s">
        <v>410</v>
      </c>
    </row>
    <row r="198" spans="3:15">
      <c r="C198" s="20">
        <v>192</v>
      </c>
      <c r="D198" s="24"/>
      <c r="I198" s="31"/>
      <c r="J198" s="31"/>
      <c r="K198" s="31" t="str">
        <f t="shared" si="6"/>
        <v/>
      </c>
      <c r="M198" s="41" t="str">
        <f t="shared" si="7"/>
        <v/>
      </c>
      <c r="O198" s="13" t="s">
        <v>410</v>
      </c>
    </row>
    <row r="199" spans="3:15">
      <c r="C199" s="20">
        <v>193</v>
      </c>
      <c r="D199" s="24"/>
      <c r="I199" s="31"/>
      <c r="J199" s="31"/>
      <c r="K199" s="31" t="str">
        <f t="shared" si="6"/>
        <v/>
      </c>
      <c r="M199" s="41" t="str">
        <f t="shared" si="7"/>
        <v/>
      </c>
      <c r="O199" s="13" t="s">
        <v>410</v>
      </c>
    </row>
    <row r="200" spans="3:15">
      <c r="C200" s="20">
        <v>194</v>
      </c>
      <c r="D200" s="24"/>
      <c r="I200" s="31"/>
      <c r="J200" s="31"/>
      <c r="K200" s="31" t="str">
        <f t="shared" ref="K200:K263" si="8">IF(K199="","",IF(K199=K199+J200-I200,"",K199+J200-I200))</f>
        <v/>
      </c>
      <c r="M200" s="41" t="str">
        <f t="shared" ref="M200:M263" si="9">IF(L200="SP-01","パン",IF(L200="SR-01","ご飯もの",IF(L200="SS-01","おかず",IF(L200="SD-01","飲料",IF(L200="ST-01","菓子類",IF(L200="SO-01","その他",IF(L200="MP-01","デスクトップパソコン",IF(L200="ML-01","ノートパソコン",IF(L200="MP-02","パソコンパーツ",IF(L200="MP-03","パソコン周辺機器",IF(L200="MS-01","スマートフォン本体",IF(L200="MT-01","タブレット本体",IF(L200="MM-01","携帯電話本体",IF(L200="MC-01","充電器",IF(L200="MC-02","カメラ",IF(L200="ME-01","家電",IF(L200="MA-01","オーディオ機器",IF(L200="MH-01","電気工具",IF(L200="MO-01","その他",IF(L200="DC-01","洋服",IF(L200="DS-01","靴",IF(L200="DW-01","時計",IF(L200="DA-01","アクセサリー",IF(L200="DO-01","その他",IF(L200="SD-01","食器",IF(L200="SF-01","家具",IF(L200="SB-01","寝具",IF(L200="SS-01","小物",IF(L200="SO-01","その他",IF(L200="OS-01","筆記具",IF(L200="ON-01","ノート",IF(L200="OR-01","ルーズリーフ",IF(L200="OM-01","工具",IF(L200="OO-01","その他",IF(L200="BN-01","小説",IF(L200="BN-02","新書",IF(L200="BM-01","雑誌",IF(L200="BC-01","漫画",IF(L200="BE-01","教育",IF(L200="BO-01","その他",IF(L200="CI-01","交通ICカード",IF(L200="CC-01","電子マネー",IF(L200="CC-02","クラウド課金",IF(L200="CG-01","ゲーム課金",IF(L200="CO-01","その他",IF(L200="IS-01","給与",IF(L200="IB-01","償却業務",IF(L200="IO-01","その他",IF(L200="AA-01","調整",IF(L200="AS-01","機密",IF(L200="AO-01","その他","")))))))))))))))))))))))))))))))))))))))))))))))))))</f>
        <v/>
      </c>
      <c r="O200" s="13" t="s">
        <v>410</v>
      </c>
    </row>
    <row r="201" spans="3:15">
      <c r="C201" s="20">
        <v>195</v>
      </c>
      <c r="D201" s="24"/>
      <c r="I201" s="31"/>
      <c r="J201" s="31"/>
      <c r="K201" s="31" t="str">
        <f t="shared" si="8"/>
        <v/>
      </c>
      <c r="M201" s="41" t="str">
        <f t="shared" si="9"/>
        <v/>
      </c>
      <c r="O201" s="13" t="s">
        <v>410</v>
      </c>
    </row>
    <row r="202" spans="3:15">
      <c r="C202" s="20">
        <v>196</v>
      </c>
      <c r="D202" s="24"/>
      <c r="I202" s="31"/>
      <c r="J202" s="31"/>
      <c r="K202" s="31" t="str">
        <f t="shared" si="8"/>
        <v/>
      </c>
      <c r="M202" s="41" t="str">
        <f t="shared" si="9"/>
        <v/>
      </c>
      <c r="O202" s="13" t="s">
        <v>410</v>
      </c>
    </row>
    <row r="203" spans="3:15">
      <c r="C203" s="20">
        <v>197</v>
      </c>
      <c r="D203" s="24"/>
      <c r="I203" s="31"/>
      <c r="J203" s="31"/>
      <c r="K203" s="31" t="str">
        <f t="shared" si="8"/>
        <v/>
      </c>
      <c r="M203" s="41" t="str">
        <f t="shared" si="9"/>
        <v/>
      </c>
      <c r="O203" s="13" t="s">
        <v>410</v>
      </c>
    </row>
    <row r="204" spans="3:15">
      <c r="C204" s="20">
        <v>198</v>
      </c>
      <c r="D204" s="24"/>
      <c r="I204" s="31"/>
      <c r="J204" s="31"/>
      <c r="K204" s="31" t="str">
        <f t="shared" si="8"/>
        <v/>
      </c>
      <c r="M204" s="41" t="str">
        <f t="shared" si="9"/>
        <v/>
      </c>
      <c r="O204" s="13" t="s">
        <v>410</v>
      </c>
    </row>
    <row r="205" spans="3:15">
      <c r="C205" s="20">
        <v>199</v>
      </c>
      <c r="D205" s="24"/>
      <c r="I205" s="31"/>
      <c r="J205" s="31"/>
      <c r="K205" s="31" t="str">
        <f t="shared" si="8"/>
        <v/>
      </c>
      <c r="M205" s="41" t="str">
        <f t="shared" si="9"/>
        <v/>
      </c>
      <c r="O205" s="13" t="s">
        <v>410</v>
      </c>
    </row>
    <row r="206" spans="3:15">
      <c r="C206" s="20">
        <v>200</v>
      </c>
      <c r="D206" s="24"/>
      <c r="I206" s="31"/>
      <c r="J206" s="31"/>
      <c r="K206" s="31" t="str">
        <f t="shared" si="8"/>
        <v/>
      </c>
      <c r="M206" s="41" t="str">
        <f t="shared" si="9"/>
        <v/>
      </c>
      <c r="O206" s="13" t="s">
        <v>410</v>
      </c>
    </row>
    <row r="207" spans="3:15">
      <c r="C207" s="20">
        <v>201</v>
      </c>
      <c r="D207" s="24"/>
      <c r="I207" s="31"/>
      <c r="J207" s="31"/>
      <c r="K207" s="31" t="str">
        <f t="shared" si="8"/>
        <v/>
      </c>
      <c r="M207" s="41" t="str">
        <f t="shared" si="9"/>
        <v/>
      </c>
      <c r="O207" s="13" t="s">
        <v>410</v>
      </c>
    </row>
    <row r="208" spans="3:15">
      <c r="C208" s="20">
        <v>202</v>
      </c>
      <c r="D208" s="24"/>
      <c r="I208" s="31"/>
      <c r="J208" s="31"/>
      <c r="K208" s="31" t="str">
        <f t="shared" si="8"/>
        <v/>
      </c>
      <c r="M208" s="41" t="str">
        <f t="shared" si="9"/>
        <v/>
      </c>
      <c r="O208" s="13" t="s">
        <v>410</v>
      </c>
    </row>
    <row r="209" spans="3:15">
      <c r="C209" s="20">
        <v>203</v>
      </c>
      <c r="D209" s="24"/>
      <c r="I209" s="31"/>
      <c r="J209" s="31"/>
      <c r="K209" s="31" t="str">
        <f t="shared" si="8"/>
        <v/>
      </c>
      <c r="M209" s="41" t="str">
        <f t="shared" si="9"/>
        <v/>
      </c>
      <c r="O209" s="13" t="s">
        <v>410</v>
      </c>
    </row>
    <row r="210" spans="3:15">
      <c r="C210" s="20">
        <v>204</v>
      </c>
      <c r="D210" s="24"/>
      <c r="I210" s="31"/>
      <c r="J210" s="31"/>
      <c r="K210" s="31" t="str">
        <f t="shared" si="8"/>
        <v/>
      </c>
      <c r="M210" s="41" t="str">
        <f t="shared" si="9"/>
        <v/>
      </c>
      <c r="O210" s="13" t="s">
        <v>410</v>
      </c>
    </row>
    <row r="211" spans="3:15">
      <c r="C211" s="20">
        <v>205</v>
      </c>
      <c r="D211" s="24"/>
      <c r="I211" s="31"/>
      <c r="J211" s="31"/>
      <c r="K211" s="31" t="str">
        <f t="shared" si="8"/>
        <v/>
      </c>
      <c r="M211" s="41" t="str">
        <f t="shared" si="9"/>
        <v/>
      </c>
      <c r="O211" s="13" t="s">
        <v>410</v>
      </c>
    </row>
    <row r="212" spans="3:15">
      <c r="C212" s="20">
        <v>206</v>
      </c>
      <c r="D212" s="24"/>
      <c r="I212" s="31"/>
      <c r="J212" s="31"/>
      <c r="K212" s="31" t="str">
        <f t="shared" si="8"/>
        <v/>
      </c>
      <c r="M212" s="41" t="str">
        <f t="shared" si="9"/>
        <v/>
      </c>
      <c r="O212" s="13" t="s">
        <v>410</v>
      </c>
    </row>
    <row r="213" spans="3:15">
      <c r="C213" s="20">
        <v>207</v>
      </c>
      <c r="D213" s="24"/>
      <c r="I213" s="31"/>
      <c r="J213" s="31"/>
      <c r="K213" s="31" t="str">
        <f t="shared" si="8"/>
        <v/>
      </c>
      <c r="M213" s="41" t="str">
        <f t="shared" si="9"/>
        <v/>
      </c>
      <c r="O213" s="13" t="s">
        <v>410</v>
      </c>
    </row>
    <row r="214" spans="3:15">
      <c r="C214" s="20">
        <v>208</v>
      </c>
      <c r="D214" s="24"/>
      <c r="I214" s="31"/>
      <c r="J214" s="31"/>
      <c r="K214" s="31" t="str">
        <f t="shared" si="8"/>
        <v/>
      </c>
      <c r="M214" s="41" t="str">
        <f t="shared" si="9"/>
        <v/>
      </c>
      <c r="O214" s="13" t="s">
        <v>410</v>
      </c>
    </row>
    <row r="215" spans="3:15">
      <c r="C215" s="20">
        <v>209</v>
      </c>
      <c r="D215" s="24"/>
      <c r="I215" s="31"/>
      <c r="J215" s="31"/>
      <c r="K215" s="31" t="str">
        <f t="shared" si="8"/>
        <v/>
      </c>
      <c r="M215" s="41" t="str">
        <f t="shared" si="9"/>
        <v/>
      </c>
      <c r="O215" s="13" t="s">
        <v>410</v>
      </c>
    </row>
    <row r="216" spans="3:15">
      <c r="C216" s="20">
        <v>210</v>
      </c>
      <c r="D216" s="24"/>
      <c r="I216" s="31"/>
      <c r="J216" s="31"/>
      <c r="K216" s="31" t="str">
        <f t="shared" si="8"/>
        <v/>
      </c>
      <c r="M216" s="41" t="str">
        <f t="shared" si="9"/>
        <v/>
      </c>
      <c r="O216" s="13" t="s">
        <v>410</v>
      </c>
    </row>
    <row r="217" spans="3:15">
      <c r="C217" s="20">
        <v>211</v>
      </c>
      <c r="D217" s="24"/>
      <c r="I217" s="31"/>
      <c r="J217" s="31"/>
      <c r="K217" s="31" t="str">
        <f t="shared" si="8"/>
        <v/>
      </c>
      <c r="M217" s="41" t="str">
        <f t="shared" si="9"/>
        <v/>
      </c>
      <c r="O217" s="13" t="s">
        <v>410</v>
      </c>
    </row>
    <row r="218" spans="3:15">
      <c r="C218" s="20">
        <v>212</v>
      </c>
      <c r="D218" s="24"/>
      <c r="I218" s="31"/>
      <c r="J218" s="31"/>
      <c r="K218" s="31" t="str">
        <f t="shared" si="8"/>
        <v/>
      </c>
      <c r="M218" s="41" t="str">
        <f t="shared" si="9"/>
        <v/>
      </c>
      <c r="O218" s="13" t="s">
        <v>410</v>
      </c>
    </row>
    <row r="219" spans="3:15">
      <c r="C219" s="20">
        <v>213</v>
      </c>
      <c r="D219" s="24"/>
      <c r="I219" s="31"/>
      <c r="J219" s="31"/>
      <c r="K219" s="31" t="str">
        <f t="shared" si="8"/>
        <v/>
      </c>
      <c r="M219" s="41" t="str">
        <f t="shared" si="9"/>
        <v/>
      </c>
      <c r="O219" s="13" t="s">
        <v>410</v>
      </c>
    </row>
    <row r="220" spans="3:15">
      <c r="C220" s="20">
        <v>214</v>
      </c>
      <c r="D220" s="24"/>
      <c r="I220" s="31"/>
      <c r="J220" s="31"/>
      <c r="K220" s="31" t="str">
        <f t="shared" si="8"/>
        <v/>
      </c>
      <c r="M220" s="41" t="str">
        <f t="shared" si="9"/>
        <v/>
      </c>
      <c r="O220" s="13" t="s">
        <v>410</v>
      </c>
    </row>
    <row r="221" spans="3:15">
      <c r="C221" s="20">
        <v>215</v>
      </c>
      <c r="D221" s="24"/>
      <c r="I221" s="31"/>
      <c r="J221" s="31"/>
      <c r="K221" s="31" t="str">
        <f t="shared" si="8"/>
        <v/>
      </c>
      <c r="M221" s="41" t="str">
        <f t="shared" si="9"/>
        <v/>
      </c>
      <c r="O221" s="13" t="s">
        <v>410</v>
      </c>
    </row>
    <row r="222" spans="3:15">
      <c r="C222" s="20">
        <v>216</v>
      </c>
      <c r="D222" s="24"/>
      <c r="I222" s="31"/>
      <c r="J222" s="31"/>
      <c r="K222" s="31" t="str">
        <f t="shared" si="8"/>
        <v/>
      </c>
      <c r="M222" s="41" t="str">
        <f t="shared" si="9"/>
        <v/>
      </c>
      <c r="O222" s="13" t="s">
        <v>410</v>
      </c>
    </row>
    <row r="223" spans="3:15">
      <c r="C223" s="20">
        <v>217</v>
      </c>
      <c r="D223" s="24"/>
      <c r="I223" s="31"/>
      <c r="J223" s="31"/>
      <c r="K223" s="31" t="str">
        <f t="shared" si="8"/>
        <v/>
      </c>
      <c r="M223" s="41" t="str">
        <f t="shared" si="9"/>
        <v/>
      </c>
      <c r="O223" s="13" t="s">
        <v>410</v>
      </c>
    </row>
    <row r="224" spans="3:15">
      <c r="C224" s="20">
        <v>218</v>
      </c>
      <c r="D224" s="24"/>
      <c r="I224" s="31"/>
      <c r="J224" s="31"/>
      <c r="K224" s="31" t="str">
        <f t="shared" si="8"/>
        <v/>
      </c>
      <c r="M224" s="41" t="str">
        <f t="shared" si="9"/>
        <v/>
      </c>
      <c r="O224" s="13" t="s">
        <v>410</v>
      </c>
    </row>
    <row r="225" spans="3:15">
      <c r="C225" s="20">
        <v>219</v>
      </c>
      <c r="D225" s="24"/>
      <c r="I225" s="31"/>
      <c r="J225" s="31"/>
      <c r="K225" s="31" t="str">
        <f t="shared" si="8"/>
        <v/>
      </c>
      <c r="M225" s="41" t="str">
        <f t="shared" si="9"/>
        <v/>
      </c>
      <c r="O225" s="13" t="s">
        <v>410</v>
      </c>
    </row>
    <row r="226" spans="3:15">
      <c r="C226" s="20">
        <v>220</v>
      </c>
      <c r="D226" s="24"/>
      <c r="I226" s="31"/>
      <c r="J226" s="31"/>
      <c r="K226" s="31" t="str">
        <f t="shared" si="8"/>
        <v/>
      </c>
      <c r="M226" s="41" t="str">
        <f t="shared" si="9"/>
        <v/>
      </c>
      <c r="O226" s="13" t="s">
        <v>410</v>
      </c>
    </row>
    <row r="227" spans="3:15">
      <c r="C227" s="20">
        <v>221</v>
      </c>
      <c r="D227" s="24"/>
      <c r="I227" s="31"/>
      <c r="J227" s="31"/>
      <c r="K227" s="31" t="str">
        <f t="shared" si="8"/>
        <v/>
      </c>
      <c r="M227" s="41" t="str">
        <f t="shared" si="9"/>
        <v/>
      </c>
      <c r="O227" s="13" t="s">
        <v>410</v>
      </c>
    </row>
    <row r="228" spans="3:15">
      <c r="C228" s="20">
        <v>222</v>
      </c>
      <c r="D228" s="24"/>
      <c r="I228" s="31"/>
      <c r="J228" s="31"/>
      <c r="K228" s="31" t="str">
        <f t="shared" si="8"/>
        <v/>
      </c>
      <c r="M228" s="41" t="str">
        <f t="shared" si="9"/>
        <v/>
      </c>
      <c r="O228" s="13" t="s">
        <v>410</v>
      </c>
    </row>
    <row r="229" spans="3:15">
      <c r="C229" s="20">
        <v>223</v>
      </c>
      <c r="D229" s="24"/>
      <c r="I229" s="31"/>
      <c r="J229" s="31"/>
      <c r="K229" s="31" t="str">
        <f t="shared" si="8"/>
        <v/>
      </c>
      <c r="M229" s="41" t="str">
        <f t="shared" si="9"/>
        <v/>
      </c>
      <c r="O229" s="13" t="s">
        <v>410</v>
      </c>
    </row>
    <row r="230" spans="3:15">
      <c r="C230" s="20">
        <v>224</v>
      </c>
      <c r="D230" s="24"/>
      <c r="I230" s="31"/>
      <c r="J230" s="31"/>
      <c r="K230" s="31" t="str">
        <f t="shared" si="8"/>
        <v/>
      </c>
      <c r="M230" s="41" t="str">
        <f t="shared" si="9"/>
        <v/>
      </c>
      <c r="O230" s="13" t="s">
        <v>410</v>
      </c>
    </row>
    <row r="231" spans="3:15">
      <c r="C231" s="20">
        <v>225</v>
      </c>
      <c r="D231" s="24"/>
      <c r="I231" s="31"/>
      <c r="J231" s="31"/>
      <c r="K231" s="31" t="str">
        <f t="shared" si="8"/>
        <v/>
      </c>
      <c r="M231" s="41" t="str">
        <f t="shared" si="9"/>
        <v/>
      </c>
      <c r="O231" s="13" t="s">
        <v>410</v>
      </c>
    </row>
    <row r="232" spans="3:15">
      <c r="C232" s="20">
        <v>226</v>
      </c>
      <c r="D232" s="24"/>
      <c r="I232" s="31"/>
      <c r="J232" s="31"/>
      <c r="K232" s="31" t="str">
        <f t="shared" si="8"/>
        <v/>
      </c>
      <c r="M232" s="41" t="str">
        <f t="shared" si="9"/>
        <v/>
      </c>
      <c r="O232" s="13" t="s">
        <v>410</v>
      </c>
    </row>
    <row r="233" spans="3:15">
      <c r="C233" s="20">
        <v>227</v>
      </c>
      <c r="D233" s="24"/>
      <c r="I233" s="31"/>
      <c r="J233" s="31"/>
      <c r="K233" s="31" t="str">
        <f t="shared" si="8"/>
        <v/>
      </c>
      <c r="M233" s="41" t="str">
        <f t="shared" si="9"/>
        <v/>
      </c>
      <c r="O233" s="13" t="s">
        <v>410</v>
      </c>
    </row>
    <row r="234" spans="3:15">
      <c r="C234" s="20">
        <v>228</v>
      </c>
      <c r="D234" s="24"/>
      <c r="I234" s="31"/>
      <c r="J234" s="31"/>
      <c r="K234" s="31" t="str">
        <f t="shared" si="8"/>
        <v/>
      </c>
      <c r="M234" s="41" t="str">
        <f t="shared" si="9"/>
        <v/>
      </c>
      <c r="O234" s="13" t="s">
        <v>410</v>
      </c>
    </row>
    <row r="235" spans="3:15">
      <c r="C235" s="20">
        <v>229</v>
      </c>
      <c r="D235" s="24"/>
      <c r="I235" s="31"/>
      <c r="J235" s="31"/>
      <c r="K235" s="31" t="str">
        <f t="shared" si="8"/>
        <v/>
      </c>
      <c r="M235" s="41" t="str">
        <f t="shared" si="9"/>
        <v/>
      </c>
      <c r="O235" s="13" t="s">
        <v>410</v>
      </c>
    </row>
    <row r="236" spans="3:15">
      <c r="C236" s="20">
        <v>230</v>
      </c>
      <c r="D236" s="24"/>
      <c r="I236" s="31"/>
      <c r="J236" s="31"/>
      <c r="K236" s="31" t="str">
        <f t="shared" si="8"/>
        <v/>
      </c>
      <c r="M236" s="41" t="str">
        <f t="shared" si="9"/>
        <v/>
      </c>
      <c r="O236" s="13" t="s">
        <v>410</v>
      </c>
    </row>
    <row r="237" spans="3:15">
      <c r="C237" s="20">
        <v>231</v>
      </c>
      <c r="D237" s="24"/>
      <c r="I237" s="31"/>
      <c r="J237" s="31"/>
      <c r="K237" s="31" t="str">
        <f t="shared" si="8"/>
        <v/>
      </c>
      <c r="M237" s="41" t="str">
        <f t="shared" si="9"/>
        <v/>
      </c>
      <c r="O237" s="13" t="s">
        <v>410</v>
      </c>
    </row>
    <row r="238" spans="3:15">
      <c r="C238" s="20">
        <v>232</v>
      </c>
      <c r="D238" s="24"/>
      <c r="I238" s="31"/>
      <c r="J238" s="31"/>
      <c r="K238" s="31" t="str">
        <f t="shared" si="8"/>
        <v/>
      </c>
      <c r="M238" s="41" t="str">
        <f t="shared" si="9"/>
        <v/>
      </c>
      <c r="O238" s="13" t="s">
        <v>410</v>
      </c>
    </row>
    <row r="239" spans="3:15">
      <c r="C239" s="20">
        <v>233</v>
      </c>
      <c r="D239" s="24"/>
      <c r="I239" s="31"/>
      <c r="J239" s="31"/>
      <c r="K239" s="31" t="str">
        <f t="shared" si="8"/>
        <v/>
      </c>
      <c r="M239" s="41" t="str">
        <f t="shared" si="9"/>
        <v/>
      </c>
      <c r="O239" s="13" t="s">
        <v>410</v>
      </c>
    </row>
    <row r="240" spans="3:15">
      <c r="C240" s="20">
        <v>234</v>
      </c>
      <c r="D240" s="24"/>
      <c r="I240" s="31"/>
      <c r="J240" s="31"/>
      <c r="K240" s="31" t="str">
        <f t="shared" si="8"/>
        <v/>
      </c>
      <c r="M240" s="41" t="str">
        <f t="shared" si="9"/>
        <v/>
      </c>
      <c r="O240" s="13" t="s">
        <v>410</v>
      </c>
    </row>
    <row r="241" spans="3:15">
      <c r="C241" s="20">
        <v>235</v>
      </c>
      <c r="D241" s="24"/>
      <c r="I241" s="31"/>
      <c r="J241" s="31"/>
      <c r="K241" s="31" t="str">
        <f t="shared" si="8"/>
        <v/>
      </c>
      <c r="M241" s="41" t="str">
        <f t="shared" si="9"/>
        <v/>
      </c>
      <c r="O241" s="13" t="s">
        <v>410</v>
      </c>
    </row>
    <row r="242" spans="3:15">
      <c r="C242" s="20">
        <v>236</v>
      </c>
      <c r="D242" s="24"/>
      <c r="I242" s="31"/>
      <c r="J242" s="31"/>
      <c r="K242" s="31" t="str">
        <f t="shared" si="8"/>
        <v/>
      </c>
      <c r="M242" s="41" t="str">
        <f t="shared" si="9"/>
        <v/>
      </c>
      <c r="O242" s="13" t="s">
        <v>410</v>
      </c>
    </row>
    <row r="243" spans="3:15">
      <c r="C243" s="20">
        <v>237</v>
      </c>
      <c r="D243" s="24"/>
      <c r="I243" s="31"/>
      <c r="J243" s="31"/>
      <c r="K243" s="31" t="str">
        <f t="shared" si="8"/>
        <v/>
      </c>
      <c r="M243" s="41" t="str">
        <f t="shared" si="9"/>
        <v/>
      </c>
      <c r="O243" s="13" t="s">
        <v>410</v>
      </c>
    </row>
    <row r="244" spans="3:15">
      <c r="C244" s="20">
        <v>238</v>
      </c>
      <c r="D244" s="24"/>
      <c r="I244" s="31"/>
      <c r="J244" s="31"/>
      <c r="K244" s="31" t="str">
        <f t="shared" si="8"/>
        <v/>
      </c>
      <c r="M244" s="41" t="str">
        <f t="shared" si="9"/>
        <v/>
      </c>
      <c r="O244" s="13" t="s">
        <v>410</v>
      </c>
    </row>
    <row r="245" spans="3:15">
      <c r="C245" s="20">
        <v>239</v>
      </c>
      <c r="D245" s="24"/>
      <c r="I245" s="31"/>
      <c r="J245" s="31"/>
      <c r="K245" s="31" t="str">
        <f t="shared" si="8"/>
        <v/>
      </c>
      <c r="M245" s="41" t="str">
        <f t="shared" si="9"/>
        <v/>
      </c>
      <c r="O245" s="13" t="s">
        <v>410</v>
      </c>
    </row>
    <row r="246" spans="3:15">
      <c r="C246" s="20">
        <v>240</v>
      </c>
      <c r="D246" s="24"/>
      <c r="I246" s="31"/>
      <c r="J246" s="31"/>
      <c r="K246" s="31" t="str">
        <f t="shared" si="8"/>
        <v/>
      </c>
      <c r="M246" s="41" t="str">
        <f t="shared" si="9"/>
        <v/>
      </c>
      <c r="O246" s="13" t="s">
        <v>410</v>
      </c>
    </row>
    <row r="247" spans="3:15">
      <c r="C247" s="20">
        <v>241</v>
      </c>
      <c r="D247" s="24"/>
      <c r="I247" s="31"/>
      <c r="J247" s="31"/>
      <c r="K247" s="31" t="str">
        <f t="shared" si="8"/>
        <v/>
      </c>
      <c r="M247" s="41" t="str">
        <f t="shared" si="9"/>
        <v/>
      </c>
      <c r="O247" s="13" t="s">
        <v>410</v>
      </c>
    </row>
    <row r="248" spans="3:15">
      <c r="C248" s="20">
        <v>242</v>
      </c>
      <c r="D248" s="24"/>
      <c r="I248" s="31"/>
      <c r="J248" s="31"/>
      <c r="K248" s="31" t="str">
        <f t="shared" si="8"/>
        <v/>
      </c>
      <c r="M248" s="41" t="str">
        <f t="shared" si="9"/>
        <v/>
      </c>
      <c r="O248" s="13" t="s">
        <v>410</v>
      </c>
    </row>
    <row r="249" spans="3:15">
      <c r="C249" s="20">
        <v>243</v>
      </c>
      <c r="D249" s="24"/>
      <c r="I249" s="31"/>
      <c r="J249" s="31"/>
      <c r="K249" s="31" t="str">
        <f t="shared" si="8"/>
        <v/>
      </c>
      <c r="M249" s="41" t="str">
        <f t="shared" si="9"/>
        <v/>
      </c>
      <c r="O249" s="13" t="s">
        <v>410</v>
      </c>
    </row>
    <row r="250" spans="3:15">
      <c r="C250" s="20">
        <v>244</v>
      </c>
      <c r="D250" s="24"/>
      <c r="I250" s="31"/>
      <c r="J250" s="31"/>
      <c r="K250" s="31" t="str">
        <f t="shared" si="8"/>
        <v/>
      </c>
      <c r="M250" s="41" t="str">
        <f t="shared" si="9"/>
        <v/>
      </c>
      <c r="O250" s="13" t="s">
        <v>410</v>
      </c>
    </row>
    <row r="251" spans="3:15">
      <c r="C251" s="20">
        <v>245</v>
      </c>
      <c r="D251" s="24"/>
      <c r="I251" s="31"/>
      <c r="J251" s="31"/>
      <c r="K251" s="31" t="str">
        <f t="shared" si="8"/>
        <v/>
      </c>
      <c r="M251" s="41" t="str">
        <f t="shared" si="9"/>
        <v/>
      </c>
      <c r="O251" s="13" t="s">
        <v>410</v>
      </c>
    </row>
    <row r="252" spans="3:15">
      <c r="C252" s="20">
        <v>246</v>
      </c>
      <c r="D252" s="24"/>
      <c r="I252" s="31"/>
      <c r="J252" s="31"/>
      <c r="K252" s="31" t="str">
        <f t="shared" si="8"/>
        <v/>
      </c>
      <c r="M252" s="41" t="str">
        <f t="shared" si="9"/>
        <v/>
      </c>
      <c r="O252" s="13" t="s">
        <v>410</v>
      </c>
    </row>
    <row r="253" spans="3:15">
      <c r="C253" s="20">
        <v>247</v>
      </c>
      <c r="D253" s="24"/>
      <c r="I253" s="31"/>
      <c r="J253" s="31"/>
      <c r="K253" s="31" t="str">
        <f t="shared" si="8"/>
        <v/>
      </c>
      <c r="M253" s="41" t="str">
        <f t="shared" si="9"/>
        <v/>
      </c>
      <c r="O253" s="13" t="s">
        <v>410</v>
      </c>
    </row>
    <row r="254" spans="3:15">
      <c r="C254" s="20">
        <v>248</v>
      </c>
      <c r="D254" s="24"/>
      <c r="I254" s="31"/>
      <c r="J254" s="31"/>
      <c r="K254" s="31" t="str">
        <f t="shared" si="8"/>
        <v/>
      </c>
      <c r="M254" s="41" t="str">
        <f t="shared" si="9"/>
        <v/>
      </c>
      <c r="O254" s="13" t="s">
        <v>410</v>
      </c>
    </row>
    <row r="255" spans="3:15">
      <c r="C255" s="20">
        <v>249</v>
      </c>
      <c r="D255" s="24"/>
      <c r="I255" s="31"/>
      <c r="J255" s="31"/>
      <c r="K255" s="31" t="str">
        <f t="shared" si="8"/>
        <v/>
      </c>
      <c r="M255" s="41" t="str">
        <f t="shared" si="9"/>
        <v/>
      </c>
      <c r="O255" s="13" t="s">
        <v>410</v>
      </c>
    </row>
    <row r="256" spans="3:15">
      <c r="C256" s="20">
        <v>250</v>
      </c>
      <c r="D256" s="24"/>
      <c r="I256" s="31"/>
      <c r="J256" s="31"/>
      <c r="K256" s="31" t="str">
        <f t="shared" si="8"/>
        <v/>
      </c>
      <c r="M256" s="41" t="str">
        <f t="shared" si="9"/>
        <v/>
      </c>
      <c r="O256" s="13" t="s">
        <v>410</v>
      </c>
    </row>
    <row r="257" spans="3:15">
      <c r="C257" s="20">
        <v>251</v>
      </c>
      <c r="D257" s="24"/>
      <c r="I257" s="31"/>
      <c r="J257" s="31"/>
      <c r="K257" s="31" t="str">
        <f t="shared" si="8"/>
        <v/>
      </c>
      <c r="M257" s="41" t="str">
        <f t="shared" si="9"/>
        <v/>
      </c>
      <c r="O257" s="13" t="s">
        <v>410</v>
      </c>
    </row>
    <row r="258" spans="3:15">
      <c r="C258" s="20">
        <v>252</v>
      </c>
      <c r="D258" s="24"/>
      <c r="I258" s="31"/>
      <c r="J258" s="31"/>
      <c r="K258" s="31" t="str">
        <f t="shared" si="8"/>
        <v/>
      </c>
      <c r="M258" s="41" t="str">
        <f t="shared" si="9"/>
        <v/>
      </c>
      <c r="O258" s="13" t="s">
        <v>410</v>
      </c>
    </row>
    <row r="259" spans="3:15">
      <c r="C259" s="20">
        <v>253</v>
      </c>
      <c r="D259" s="24"/>
      <c r="I259" s="31"/>
      <c r="J259" s="31"/>
      <c r="K259" s="31" t="str">
        <f t="shared" si="8"/>
        <v/>
      </c>
      <c r="M259" s="41" t="str">
        <f t="shared" si="9"/>
        <v/>
      </c>
      <c r="O259" s="13" t="s">
        <v>410</v>
      </c>
    </row>
    <row r="260" spans="3:15">
      <c r="C260" s="20">
        <v>254</v>
      </c>
      <c r="D260" s="24"/>
      <c r="I260" s="31"/>
      <c r="J260" s="31"/>
      <c r="K260" s="31" t="str">
        <f t="shared" si="8"/>
        <v/>
      </c>
      <c r="M260" s="41" t="str">
        <f t="shared" si="9"/>
        <v/>
      </c>
      <c r="O260" s="13" t="s">
        <v>410</v>
      </c>
    </row>
    <row r="261" spans="3:15">
      <c r="C261" s="20">
        <v>255</v>
      </c>
      <c r="D261" s="24"/>
      <c r="I261" s="31"/>
      <c r="J261" s="31"/>
      <c r="K261" s="31" t="str">
        <f t="shared" si="8"/>
        <v/>
      </c>
      <c r="M261" s="41" t="str">
        <f t="shared" si="9"/>
        <v/>
      </c>
      <c r="O261" s="13" t="s">
        <v>410</v>
      </c>
    </row>
    <row r="262" spans="3:15">
      <c r="C262" s="20">
        <v>256</v>
      </c>
      <c r="D262" s="24"/>
      <c r="I262" s="31"/>
      <c r="J262" s="31"/>
      <c r="K262" s="31" t="str">
        <f t="shared" si="8"/>
        <v/>
      </c>
      <c r="M262" s="41" t="str">
        <f t="shared" si="9"/>
        <v/>
      </c>
      <c r="O262" s="13" t="s">
        <v>410</v>
      </c>
    </row>
    <row r="263" spans="3:15">
      <c r="C263" s="20">
        <v>257</v>
      </c>
      <c r="D263" s="24"/>
      <c r="I263" s="31"/>
      <c r="J263" s="31"/>
      <c r="K263" s="31" t="str">
        <f t="shared" si="8"/>
        <v/>
      </c>
      <c r="M263" s="41" t="str">
        <f t="shared" si="9"/>
        <v/>
      </c>
      <c r="O263" s="13" t="s">
        <v>410</v>
      </c>
    </row>
    <row r="264" spans="3:15">
      <c r="C264" s="20">
        <v>258</v>
      </c>
      <c r="D264" s="24"/>
      <c r="I264" s="31"/>
      <c r="J264" s="31"/>
      <c r="K264" s="31" t="str">
        <f t="shared" ref="K264:K327" si="10">IF(K263="","",IF(K263=K263+J264-I264,"",K263+J264-I264))</f>
        <v/>
      </c>
      <c r="M264" s="41" t="str">
        <f t="shared" ref="M264:M327" si="11">IF(L264="SP-01","パン",IF(L264="SR-01","ご飯もの",IF(L264="SS-01","おかず",IF(L264="SD-01","飲料",IF(L264="ST-01","菓子類",IF(L264="SO-01","その他",IF(L264="MP-01","デスクトップパソコン",IF(L264="ML-01","ノートパソコン",IF(L264="MP-02","パソコンパーツ",IF(L264="MP-03","パソコン周辺機器",IF(L264="MS-01","スマートフォン本体",IF(L264="MT-01","タブレット本体",IF(L264="MM-01","携帯電話本体",IF(L264="MC-01","充電器",IF(L264="MC-02","カメラ",IF(L264="ME-01","家電",IF(L264="MA-01","オーディオ機器",IF(L264="MH-01","電気工具",IF(L264="MO-01","その他",IF(L264="DC-01","洋服",IF(L264="DS-01","靴",IF(L264="DW-01","時計",IF(L264="DA-01","アクセサリー",IF(L264="DO-01","その他",IF(L264="SD-01","食器",IF(L264="SF-01","家具",IF(L264="SB-01","寝具",IF(L264="SS-01","小物",IF(L264="SO-01","その他",IF(L264="OS-01","筆記具",IF(L264="ON-01","ノート",IF(L264="OR-01","ルーズリーフ",IF(L264="OM-01","工具",IF(L264="OO-01","その他",IF(L264="BN-01","小説",IF(L264="BN-02","新書",IF(L264="BM-01","雑誌",IF(L264="BC-01","漫画",IF(L264="BE-01","教育",IF(L264="BO-01","その他",IF(L264="CI-01","交通ICカード",IF(L264="CC-01","電子マネー",IF(L264="CC-02","クラウド課金",IF(L264="CG-01","ゲーム課金",IF(L264="CO-01","その他",IF(L264="IS-01","給与",IF(L264="IB-01","償却業務",IF(L264="IO-01","その他",IF(L264="AA-01","調整",IF(L264="AS-01","機密",IF(L264="AO-01","その他","")))))))))))))))))))))))))))))))))))))))))))))))))))</f>
        <v/>
      </c>
      <c r="O264" s="13" t="s">
        <v>410</v>
      </c>
    </row>
    <row r="265" spans="3:15">
      <c r="C265" s="20">
        <v>259</v>
      </c>
      <c r="D265" s="24"/>
      <c r="I265" s="31"/>
      <c r="J265" s="31"/>
      <c r="K265" s="31" t="str">
        <f t="shared" si="10"/>
        <v/>
      </c>
      <c r="M265" s="41" t="str">
        <f t="shared" si="11"/>
        <v/>
      </c>
      <c r="O265" s="13" t="s">
        <v>410</v>
      </c>
    </row>
    <row r="266" spans="3:15">
      <c r="C266" s="20">
        <v>260</v>
      </c>
      <c r="D266" s="24"/>
      <c r="I266" s="31"/>
      <c r="J266" s="31"/>
      <c r="K266" s="31" t="str">
        <f t="shared" si="10"/>
        <v/>
      </c>
      <c r="M266" s="41" t="str">
        <f t="shared" si="11"/>
        <v/>
      </c>
      <c r="O266" s="13" t="s">
        <v>410</v>
      </c>
    </row>
    <row r="267" spans="3:15">
      <c r="C267" s="20">
        <v>261</v>
      </c>
      <c r="D267" s="24"/>
      <c r="I267" s="31"/>
      <c r="J267" s="31"/>
      <c r="K267" s="31" t="str">
        <f t="shared" si="10"/>
        <v/>
      </c>
      <c r="M267" s="41" t="str">
        <f t="shared" si="11"/>
        <v/>
      </c>
      <c r="O267" s="13" t="s">
        <v>410</v>
      </c>
    </row>
    <row r="268" spans="3:15">
      <c r="C268" s="20">
        <v>262</v>
      </c>
      <c r="D268" s="24"/>
      <c r="I268" s="31"/>
      <c r="J268" s="31"/>
      <c r="K268" s="31" t="str">
        <f t="shared" si="10"/>
        <v/>
      </c>
      <c r="M268" s="41" t="str">
        <f t="shared" si="11"/>
        <v/>
      </c>
      <c r="O268" s="13" t="s">
        <v>410</v>
      </c>
    </row>
    <row r="269" spans="3:15">
      <c r="C269" s="20">
        <v>263</v>
      </c>
      <c r="D269" s="24"/>
      <c r="I269" s="31"/>
      <c r="J269" s="31"/>
      <c r="K269" s="31" t="str">
        <f t="shared" si="10"/>
        <v/>
      </c>
      <c r="M269" s="41" t="str">
        <f t="shared" si="11"/>
        <v/>
      </c>
      <c r="O269" s="13" t="s">
        <v>410</v>
      </c>
    </row>
    <row r="270" spans="3:15">
      <c r="C270" s="20">
        <v>264</v>
      </c>
      <c r="D270" s="24"/>
      <c r="I270" s="31"/>
      <c r="J270" s="31"/>
      <c r="K270" s="31" t="str">
        <f t="shared" si="10"/>
        <v/>
      </c>
      <c r="M270" s="41" t="str">
        <f t="shared" si="11"/>
        <v/>
      </c>
      <c r="O270" s="13" t="s">
        <v>410</v>
      </c>
    </row>
    <row r="271" spans="3:15">
      <c r="C271" s="20">
        <v>265</v>
      </c>
      <c r="D271" s="24"/>
      <c r="I271" s="31"/>
      <c r="J271" s="31"/>
      <c r="K271" s="31" t="str">
        <f t="shared" si="10"/>
        <v/>
      </c>
      <c r="M271" s="41" t="str">
        <f t="shared" si="11"/>
        <v/>
      </c>
      <c r="O271" s="13" t="s">
        <v>410</v>
      </c>
    </row>
    <row r="272" spans="3:15">
      <c r="C272" s="20">
        <v>266</v>
      </c>
      <c r="D272" s="24"/>
      <c r="I272" s="31"/>
      <c r="J272" s="31"/>
      <c r="K272" s="31" t="str">
        <f t="shared" si="10"/>
        <v/>
      </c>
      <c r="M272" s="41" t="str">
        <f t="shared" si="11"/>
        <v/>
      </c>
      <c r="O272" s="13" t="s">
        <v>410</v>
      </c>
    </row>
    <row r="273" spans="3:15">
      <c r="C273" s="20">
        <v>267</v>
      </c>
      <c r="D273" s="24"/>
      <c r="I273" s="31"/>
      <c r="J273" s="31"/>
      <c r="K273" s="31" t="str">
        <f t="shared" si="10"/>
        <v/>
      </c>
      <c r="M273" s="41" t="str">
        <f t="shared" si="11"/>
        <v/>
      </c>
      <c r="O273" s="13" t="s">
        <v>410</v>
      </c>
    </row>
    <row r="274" spans="3:15">
      <c r="C274" s="20">
        <v>268</v>
      </c>
      <c r="D274" s="24"/>
      <c r="I274" s="31"/>
      <c r="J274" s="31"/>
      <c r="K274" s="31" t="str">
        <f t="shared" si="10"/>
        <v/>
      </c>
      <c r="M274" s="41" t="str">
        <f t="shared" si="11"/>
        <v/>
      </c>
      <c r="O274" s="13" t="s">
        <v>410</v>
      </c>
    </row>
    <row r="275" spans="3:15">
      <c r="C275" s="20">
        <v>269</v>
      </c>
      <c r="D275" s="24"/>
      <c r="I275" s="31"/>
      <c r="J275" s="31"/>
      <c r="K275" s="31" t="str">
        <f t="shared" si="10"/>
        <v/>
      </c>
      <c r="M275" s="41" t="str">
        <f t="shared" si="11"/>
        <v/>
      </c>
      <c r="O275" s="13" t="s">
        <v>410</v>
      </c>
    </row>
    <row r="276" spans="3:15">
      <c r="C276" s="20">
        <v>270</v>
      </c>
      <c r="D276" s="24"/>
      <c r="I276" s="31"/>
      <c r="J276" s="31"/>
      <c r="K276" s="31" t="str">
        <f t="shared" si="10"/>
        <v/>
      </c>
      <c r="M276" s="41" t="str">
        <f t="shared" si="11"/>
        <v/>
      </c>
      <c r="O276" s="13" t="s">
        <v>410</v>
      </c>
    </row>
    <row r="277" spans="3:15">
      <c r="C277" s="20">
        <v>271</v>
      </c>
      <c r="D277" s="24"/>
      <c r="I277" s="31"/>
      <c r="J277" s="31"/>
      <c r="K277" s="31" t="str">
        <f t="shared" si="10"/>
        <v/>
      </c>
      <c r="M277" s="41" t="str">
        <f t="shared" si="11"/>
        <v/>
      </c>
      <c r="O277" s="13" t="s">
        <v>410</v>
      </c>
    </row>
    <row r="278" spans="3:15">
      <c r="C278" s="20">
        <v>272</v>
      </c>
      <c r="D278" s="24"/>
      <c r="I278" s="31"/>
      <c r="J278" s="31"/>
      <c r="K278" s="31" t="str">
        <f t="shared" si="10"/>
        <v/>
      </c>
      <c r="M278" s="41" t="str">
        <f t="shared" si="11"/>
        <v/>
      </c>
      <c r="O278" s="13" t="s">
        <v>410</v>
      </c>
    </row>
    <row r="279" spans="3:15">
      <c r="C279" s="20">
        <v>273</v>
      </c>
      <c r="D279" s="24"/>
      <c r="I279" s="31"/>
      <c r="J279" s="31"/>
      <c r="K279" s="31" t="str">
        <f t="shared" si="10"/>
        <v/>
      </c>
      <c r="M279" s="41" t="str">
        <f t="shared" si="11"/>
        <v/>
      </c>
      <c r="O279" s="13" t="s">
        <v>410</v>
      </c>
    </row>
    <row r="280" spans="3:15">
      <c r="C280" s="20">
        <v>274</v>
      </c>
      <c r="D280" s="24"/>
      <c r="I280" s="31"/>
      <c r="J280" s="31"/>
      <c r="K280" s="31" t="str">
        <f t="shared" si="10"/>
        <v/>
      </c>
      <c r="M280" s="41" t="str">
        <f t="shared" si="11"/>
        <v/>
      </c>
      <c r="O280" s="13" t="s">
        <v>410</v>
      </c>
    </row>
    <row r="281" spans="3:15">
      <c r="C281" s="20">
        <v>275</v>
      </c>
      <c r="D281" s="24"/>
      <c r="I281" s="31"/>
      <c r="J281" s="31"/>
      <c r="K281" s="31" t="str">
        <f t="shared" si="10"/>
        <v/>
      </c>
      <c r="M281" s="41" t="str">
        <f t="shared" si="11"/>
        <v/>
      </c>
      <c r="O281" s="13" t="s">
        <v>410</v>
      </c>
    </row>
    <row r="282" spans="3:15">
      <c r="C282" s="20">
        <v>276</v>
      </c>
      <c r="D282" s="24"/>
      <c r="I282" s="31"/>
      <c r="J282" s="31"/>
      <c r="K282" s="31" t="str">
        <f t="shared" si="10"/>
        <v/>
      </c>
      <c r="M282" s="41" t="str">
        <f t="shared" si="11"/>
        <v/>
      </c>
      <c r="O282" s="13" t="s">
        <v>410</v>
      </c>
    </row>
    <row r="283" spans="3:15">
      <c r="C283" s="20">
        <v>277</v>
      </c>
      <c r="D283" s="24"/>
      <c r="I283" s="31"/>
      <c r="J283" s="31"/>
      <c r="K283" s="31" t="str">
        <f t="shared" si="10"/>
        <v/>
      </c>
      <c r="M283" s="41" t="str">
        <f t="shared" si="11"/>
        <v/>
      </c>
      <c r="O283" s="13" t="s">
        <v>410</v>
      </c>
    </row>
    <row r="284" spans="3:15">
      <c r="C284" s="20">
        <v>278</v>
      </c>
      <c r="D284" s="24"/>
      <c r="I284" s="31"/>
      <c r="J284" s="31"/>
      <c r="K284" s="31" t="str">
        <f t="shared" si="10"/>
        <v/>
      </c>
      <c r="M284" s="41" t="str">
        <f t="shared" si="11"/>
        <v/>
      </c>
      <c r="O284" s="13" t="s">
        <v>410</v>
      </c>
    </row>
    <row r="285" spans="3:15">
      <c r="C285" s="20">
        <v>279</v>
      </c>
      <c r="D285" s="24"/>
      <c r="I285" s="31"/>
      <c r="J285" s="31"/>
      <c r="K285" s="31" t="str">
        <f t="shared" si="10"/>
        <v/>
      </c>
      <c r="M285" s="41" t="str">
        <f t="shared" si="11"/>
        <v/>
      </c>
      <c r="O285" s="13" t="s">
        <v>410</v>
      </c>
    </row>
    <row r="286" spans="3:15">
      <c r="C286" s="20">
        <v>280</v>
      </c>
      <c r="D286" s="24"/>
      <c r="I286" s="31"/>
      <c r="J286" s="31"/>
      <c r="K286" s="31" t="str">
        <f t="shared" si="10"/>
        <v/>
      </c>
      <c r="M286" s="41" t="str">
        <f t="shared" si="11"/>
        <v/>
      </c>
      <c r="O286" s="13" t="s">
        <v>410</v>
      </c>
    </row>
    <row r="287" spans="3:15">
      <c r="C287" s="20">
        <v>281</v>
      </c>
      <c r="D287" s="24"/>
      <c r="I287" s="31"/>
      <c r="J287" s="31"/>
      <c r="K287" s="31" t="str">
        <f t="shared" si="10"/>
        <v/>
      </c>
      <c r="M287" s="41" t="str">
        <f t="shared" si="11"/>
        <v/>
      </c>
      <c r="O287" s="13" t="s">
        <v>410</v>
      </c>
    </row>
    <row r="288" spans="3:15">
      <c r="C288" s="20">
        <v>282</v>
      </c>
      <c r="D288" s="24"/>
      <c r="I288" s="31"/>
      <c r="J288" s="31"/>
      <c r="K288" s="31" t="str">
        <f t="shared" si="10"/>
        <v/>
      </c>
      <c r="M288" s="41" t="str">
        <f t="shared" si="11"/>
        <v/>
      </c>
      <c r="O288" s="13" t="s">
        <v>410</v>
      </c>
    </row>
    <row r="289" spans="3:15">
      <c r="C289" s="20">
        <v>283</v>
      </c>
      <c r="D289" s="24"/>
      <c r="I289" s="31"/>
      <c r="J289" s="31"/>
      <c r="K289" s="31" t="str">
        <f t="shared" si="10"/>
        <v/>
      </c>
      <c r="M289" s="41" t="str">
        <f t="shared" si="11"/>
        <v/>
      </c>
      <c r="O289" s="13" t="s">
        <v>410</v>
      </c>
    </row>
    <row r="290" spans="3:15">
      <c r="C290" s="20">
        <v>284</v>
      </c>
      <c r="D290" s="24"/>
      <c r="I290" s="31"/>
      <c r="J290" s="31"/>
      <c r="K290" s="31" t="str">
        <f t="shared" si="10"/>
        <v/>
      </c>
      <c r="M290" s="41" t="str">
        <f t="shared" si="11"/>
        <v/>
      </c>
      <c r="O290" s="13" t="s">
        <v>410</v>
      </c>
    </row>
    <row r="291" spans="3:15">
      <c r="C291" s="20">
        <v>285</v>
      </c>
      <c r="D291" s="24"/>
      <c r="I291" s="31"/>
      <c r="J291" s="31"/>
      <c r="K291" s="31" t="str">
        <f t="shared" si="10"/>
        <v/>
      </c>
      <c r="M291" s="41" t="str">
        <f t="shared" si="11"/>
        <v/>
      </c>
      <c r="O291" s="13" t="s">
        <v>410</v>
      </c>
    </row>
    <row r="292" spans="3:15">
      <c r="C292" s="20">
        <v>286</v>
      </c>
      <c r="D292" s="24"/>
      <c r="I292" s="31"/>
      <c r="J292" s="31"/>
      <c r="K292" s="31" t="str">
        <f t="shared" si="10"/>
        <v/>
      </c>
      <c r="M292" s="41" t="str">
        <f t="shared" si="11"/>
        <v/>
      </c>
      <c r="O292" s="13" t="s">
        <v>410</v>
      </c>
    </row>
    <row r="293" spans="3:15">
      <c r="C293" s="20">
        <v>287</v>
      </c>
      <c r="D293" s="24"/>
      <c r="I293" s="31"/>
      <c r="J293" s="31"/>
      <c r="K293" s="31" t="str">
        <f t="shared" si="10"/>
        <v/>
      </c>
      <c r="M293" s="41" t="str">
        <f t="shared" si="11"/>
        <v/>
      </c>
      <c r="O293" s="13" t="s">
        <v>410</v>
      </c>
    </row>
    <row r="294" spans="3:15">
      <c r="C294" s="20">
        <v>288</v>
      </c>
      <c r="D294" s="24"/>
      <c r="I294" s="31"/>
      <c r="J294" s="31"/>
      <c r="K294" s="31" t="str">
        <f t="shared" si="10"/>
        <v/>
      </c>
      <c r="M294" s="41" t="str">
        <f t="shared" si="11"/>
        <v/>
      </c>
      <c r="O294" s="13" t="s">
        <v>410</v>
      </c>
    </row>
    <row r="295" spans="3:15">
      <c r="C295" s="20">
        <v>289</v>
      </c>
      <c r="D295" s="24"/>
      <c r="I295" s="31"/>
      <c r="J295" s="31"/>
      <c r="K295" s="31" t="str">
        <f t="shared" si="10"/>
        <v/>
      </c>
      <c r="M295" s="41" t="str">
        <f t="shared" si="11"/>
        <v/>
      </c>
      <c r="O295" s="13" t="s">
        <v>410</v>
      </c>
    </row>
    <row r="296" spans="3:15">
      <c r="C296" s="20">
        <v>290</v>
      </c>
      <c r="D296" s="24"/>
      <c r="I296" s="31"/>
      <c r="J296" s="31"/>
      <c r="K296" s="31" t="str">
        <f t="shared" si="10"/>
        <v/>
      </c>
      <c r="M296" s="41" t="str">
        <f t="shared" si="11"/>
        <v/>
      </c>
      <c r="O296" s="13" t="s">
        <v>410</v>
      </c>
    </row>
    <row r="297" spans="3:15">
      <c r="C297" s="20">
        <v>291</v>
      </c>
      <c r="D297" s="24"/>
      <c r="I297" s="31"/>
      <c r="J297" s="31"/>
      <c r="K297" s="31" t="str">
        <f t="shared" si="10"/>
        <v/>
      </c>
      <c r="M297" s="41" t="str">
        <f t="shared" si="11"/>
        <v/>
      </c>
      <c r="O297" s="13" t="s">
        <v>410</v>
      </c>
    </row>
    <row r="298" spans="3:15">
      <c r="C298" s="20">
        <v>292</v>
      </c>
      <c r="D298" s="24"/>
      <c r="I298" s="31"/>
      <c r="J298" s="31"/>
      <c r="K298" s="31" t="str">
        <f t="shared" si="10"/>
        <v/>
      </c>
      <c r="M298" s="41" t="str">
        <f t="shared" si="11"/>
        <v/>
      </c>
      <c r="O298" s="13" t="s">
        <v>410</v>
      </c>
    </row>
    <row r="299" spans="3:15">
      <c r="C299" s="20">
        <v>293</v>
      </c>
      <c r="D299" s="24"/>
      <c r="I299" s="31"/>
      <c r="J299" s="31"/>
      <c r="K299" s="31" t="str">
        <f t="shared" si="10"/>
        <v/>
      </c>
      <c r="M299" s="41" t="str">
        <f t="shared" si="11"/>
        <v/>
      </c>
      <c r="O299" s="13" t="s">
        <v>410</v>
      </c>
    </row>
    <row r="300" spans="3:15">
      <c r="C300" s="20">
        <v>294</v>
      </c>
      <c r="D300" s="24"/>
      <c r="I300" s="31"/>
      <c r="J300" s="31"/>
      <c r="K300" s="31" t="str">
        <f t="shared" si="10"/>
        <v/>
      </c>
      <c r="M300" s="41" t="str">
        <f t="shared" si="11"/>
        <v/>
      </c>
      <c r="O300" s="13" t="s">
        <v>410</v>
      </c>
    </row>
    <row r="301" spans="3:15">
      <c r="C301" s="20">
        <v>295</v>
      </c>
      <c r="D301" s="24"/>
      <c r="I301" s="31"/>
      <c r="J301" s="31"/>
      <c r="K301" s="31" t="str">
        <f t="shared" si="10"/>
        <v/>
      </c>
      <c r="M301" s="41" t="str">
        <f t="shared" si="11"/>
        <v/>
      </c>
      <c r="O301" s="13" t="s">
        <v>410</v>
      </c>
    </row>
    <row r="302" spans="3:15">
      <c r="C302" s="20">
        <v>296</v>
      </c>
      <c r="D302" s="24"/>
      <c r="I302" s="31"/>
      <c r="J302" s="31"/>
      <c r="K302" s="31" t="str">
        <f t="shared" si="10"/>
        <v/>
      </c>
      <c r="M302" s="41" t="str">
        <f t="shared" si="11"/>
        <v/>
      </c>
      <c r="O302" s="13" t="s">
        <v>410</v>
      </c>
    </row>
    <row r="303" spans="3:15">
      <c r="C303" s="20">
        <v>297</v>
      </c>
      <c r="D303" s="24"/>
      <c r="I303" s="31"/>
      <c r="J303" s="31"/>
      <c r="K303" s="31" t="str">
        <f t="shared" si="10"/>
        <v/>
      </c>
      <c r="M303" s="41" t="str">
        <f t="shared" si="11"/>
        <v/>
      </c>
      <c r="O303" s="13" t="s">
        <v>410</v>
      </c>
    </row>
    <row r="304" spans="3:15">
      <c r="C304" s="20">
        <v>298</v>
      </c>
      <c r="D304" s="24"/>
      <c r="I304" s="31"/>
      <c r="J304" s="31"/>
      <c r="K304" s="31" t="str">
        <f t="shared" si="10"/>
        <v/>
      </c>
      <c r="M304" s="41" t="str">
        <f t="shared" si="11"/>
        <v/>
      </c>
      <c r="O304" s="13" t="s">
        <v>410</v>
      </c>
    </row>
    <row r="305" spans="3:15">
      <c r="C305" s="20">
        <v>299</v>
      </c>
      <c r="D305" s="24"/>
      <c r="I305" s="31"/>
      <c r="J305" s="31"/>
      <c r="K305" s="31" t="str">
        <f t="shared" si="10"/>
        <v/>
      </c>
      <c r="M305" s="41" t="str">
        <f t="shared" si="11"/>
        <v/>
      </c>
      <c r="O305" s="13" t="s">
        <v>410</v>
      </c>
    </row>
    <row r="306" spans="3:15">
      <c r="C306" s="20">
        <v>300</v>
      </c>
      <c r="D306" s="24"/>
      <c r="I306" s="31"/>
      <c r="J306" s="31"/>
      <c r="K306" s="31" t="str">
        <f t="shared" si="10"/>
        <v/>
      </c>
      <c r="M306" s="41" t="str">
        <f t="shared" si="11"/>
        <v/>
      </c>
      <c r="O306" s="13" t="s">
        <v>410</v>
      </c>
    </row>
    <row r="307" spans="3:15">
      <c r="C307" s="20">
        <v>301</v>
      </c>
      <c r="D307" s="24"/>
      <c r="I307" s="31"/>
      <c r="J307" s="31"/>
      <c r="K307" s="31" t="str">
        <f t="shared" si="10"/>
        <v/>
      </c>
      <c r="M307" s="41" t="str">
        <f t="shared" si="11"/>
        <v/>
      </c>
      <c r="O307" s="13" t="s">
        <v>410</v>
      </c>
    </row>
    <row r="308" spans="3:15">
      <c r="C308" s="20">
        <v>302</v>
      </c>
      <c r="D308" s="24"/>
      <c r="I308" s="31"/>
      <c r="J308" s="31"/>
      <c r="K308" s="31" t="str">
        <f t="shared" si="10"/>
        <v/>
      </c>
      <c r="M308" s="41" t="str">
        <f t="shared" si="11"/>
        <v/>
      </c>
      <c r="O308" s="13" t="s">
        <v>410</v>
      </c>
    </row>
    <row r="309" spans="3:15">
      <c r="C309" s="20">
        <v>303</v>
      </c>
      <c r="D309" s="24"/>
      <c r="I309" s="31"/>
      <c r="J309" s="31"/>
      <c r="K309" s="31" t="str">
        <f t="shared" si="10"/>
        <v/>
      </c>
      <c r="M309" s="41" t="str">
        <f t="shared" si="11"/>
        <v/>
      </c>
      <c r="O309" s="13" t="s">
        <v>410</v>
      </c>
    </row>
    <row r="310" spans="3:15">
      <c r="C310" s="20">
        <v>304</v>
      </c>
      <c r="D310" s="24"/>
      <c r="I310" s="31"/>
      <c r="J310" s="31"/>
      <c r="K310" s="31" t="str">
        <f t="shared" si="10"/>
        <v/>
      </c>
      <c r="M310" s="41" t="str">
        <f t="shared" si="11"/>
        <v/>
      </c>
      <c r="O310" s="13" t="s">
        <v>410</v>
      </c>
    </row>
    <row r="311" spans="3:15">
      <c r="C311" s="20">
        <v>305</v>
      </c>
      <c r="D311" s="24"/>
      <c r="I311" s="31"/>
      <c r="J311" s="31"/>
      <c r="K311" s="31" t="str">
        <f t="shared" si="10"/>
        <v/>
      </c>
      <c r="M311" s="41" t="str">
        <f t="shared" si="11"/>
        <v/>
      </c>
      <c r="O311" s="13" t="s">
        <v>410</v>
      </c>
    </row>
    <row r="312" spans="3:15">
      <c r="C312" s="20">
        <v>306</v>
      </c>
      <c r="D312" s="24"/>
      <c r="I312" s="31"/>
      <c r="J312" s="31"/>
      <c r="K312" s="31" t="str">
        <f t="shared" si="10"/>
        <v/>
      </c>
      <c r="M312" s="41" t="str">
        <f t="shared" si="11"/>
        <v/>
      </c>
      <c r="O312" s="13" t="s">
        <v>410</v>
      </c>
    </row>
    <row r="313" spans="3:15">
      <c r="C313" s="20">
        <v>307</v>
      </c>
      <c r="D313" s="24"/>
      <c r="I313" s="31"/>
      <c r="J313" s="31"/>
      <c r="K313" s="31" t="str">
        <f t="shared" si="10"/>
        <v/>
      </c>
      <c r="M313" s="41" t="str">
        <f t="shared" si="11"/>
        <v/>
      </c>
      <c r="O313" s="13" t="s">
        <v>410</v>
      </c>
    </row>
    <row r="314" spans="3:15">
      <c r="C314" s="20">
        <v>308</v>
      </c>
      <c r="D314" s="24"/>
      <c r="I314" s="31"/>
      <c r="J314" s="31"/>
      <c r="K314" s="31" t="str">
        <f t="shared" si="10"/>
        <v/>
      </c>
      <c r="M314" s="41" t="str">
        <f t="shared" si="11"/>
        <v/>
      </c>
      <c r="O314" s="13" t="s">
        <v>410</v>
      </c>
    </row>
    <row r="315" spans="3:15">
      <c r="C315" s="20">
        <v>309</v>
      </c>
      <c r="D315" s="24"/>
      <c r="I315" s="31"/>
      <c r="J315" s="31"/>
      <c r="K315" s="31" t="str">
        <f t="shared" si="10"/>
        <v/>
      </c>
      <c r="M315" s="41" t="str">
        <f t="shared" si="11"/>
        <v/>
      </c>
      <c r="O315" s="13" t="s">
        <v>410</v>
      </c>
    </row>
    <row r="316" spans="3:15">
      <c r="C316" s="20">
        <v>310</v>
      </c>
      <c r="D316" s="24"/>
      <c r="I316" s="31"/>
      <c r="J316" s="31"/>
      <c r="K316" s="31" t="str">
        <f t="shared" si="10"/>
        <v/>
      </c>
      <c r="M316" s="41" t="str">
        <f t="shared" si="11"/>
        <v/>
      </c>
      <c r="O316" s="13" t="s">
        <v>410</v>
      </c>
    </row>
    <row r="317" spans="3:15">
      <c r="C317" s="20">
        <v>311</v>
      </c>
      <c r="D317" s="24"/>
      <c r="I317" s="31"/>
      <c r="J317" s="31"/>
      <c r="K317" s="31" t="str">
        <f t="shared" si="10"/>
        <v/>
      </c>
      <c r="M317" s="41" t="str">
        <f t="shared" si="11"/>
        <v/>
      </c>
      <c r="O317" s="13" t="s">
        <v>410</v>
      </c>
    </row>
    <row r="318" spans="3:15">
      <c r="C318" s="20">
        <v>312</v>
      </c>
      <c r="D318" s="24"/>
      <c r="I318" s="31"/>
      <c r="J318" s="31"/>
      <c r="K318" s="31" t="str">
        <f t="shared" si="10"/>
        <v/>
      </c>
      <c r="M318" s="41" t="str">
        <f t="shared" si="11"/>
        <v/>
      </c>
      <c r="O318" s="13" t="s">
        <v>410</v>
      </c>
    </row>
    <row r="319" spans="3:15">
      <c r="C319" s="20">
        <v>313</v>
      </c>
      <c r="D319" s="24"/>
      <c r="I319" s="31"/>
      <c r="J319" s="31"/>
      <c r="K319" s="31" t="str">
        <f t="shared" si="10"/>
        <v/>
      </c>
      <c r="M319" s="41" t="str">
        <f t="shared" si="11"/>
        <v/>
      </c>
      <c r="O319" s="13" t="s">
        <v>410</v>
      </c>
    </row>
    <row r="320" spans="3:15">
      <c r="C320" s="20">
        <v>314</v>
      </c>
      <c r="D320" s="24"/>
      <c r="I320" s="31"/>
      <c r="J320" s="31"/>
      <c r="K320" s="31" t="str">
        <f t="shared" si="10"/>
        <v/>
      </c>
      <c r="M320" s="41" t="str">
        <f t="shared" si="11"/>
        <v/>
      </c>
      <c r="O320" s="13" t="s">
        <v>410</v>
      </c>
    </row>
    <row r="321" spans="3:15">
      <c r="C321" s="20">
        <v>315</v>
      </c>
      <c r="D321" s="24"/>
      <c r="I321" s="31"/>
      <c r="J321" s="31"/>
      <c r="K321" s="31" t="str">
        <f t="shared" si="10"/>
        <v/>
      </c>
      <c r="M321" s="41" t="str">
        <f t="shared" si="11"/>
        <v/>
      </c>
      <c r="O321" s="13" t="s">
        <v>410</v>
      </c>
    </row>
    <row r="322" spans="3:15">
      <c r="C322" s="20">
        <v>316</v>
      </c>
      <c r="D322" s="24"/>
      <c r="I322" s="31"/>
      <c r="J322" s="31"/>
      <c r="K322" s="31" t="str">
        <f t="shared" si="10"/>
        <v/>
      </c>
      <c r="M322" s="41" t="str">
        <f t="shared" si="11"/>
        <v/>
      </c>
      <c r="O322" s="13" t="s">
        <v>410</v>
      </c>
    </row>
    <row r="323" spans="3:15">
      <c r="C323" s="20">
        <v>317</v>
      </c>
      <c r="D323" s="24"/>
      <c r="I323" s="31"/>
      <c r="J323" s="31"/>
      <c r="K323" s="31" t="str">
        <f t="shared" si="10"/>
        <v/>
      </c>
      <c r="M323" s="41" t="str">
        <f t="shared" si="11"/>
        <v/>
      </c>
      <c r="O323" s="13" t="s">
        <v>410</v>
      </c>
    </row>
    <row r="324" spans="3:15">
      <c r="C324" s="20">
        <v>318</v>
      </c>
      <c r="D324" s="24"/>
      <c r="I324" s="31"/>
      <c r="J324" s="31"/>
      <c r="K324" s="31" t="str">
        <f t="shared" si="10"/>
        <v/>
      </c>
      <c r="M324" s="41" t="str">
        <f t="shared" si="11"/>
        <v/>
      </c>
      <c r="O324" s="13" t="s">
        <v>410</v>
      </c>
    </row>
    <row r="325" spans="3:15">
      <c r="C325" s="20">
        <v>319</v>
      </c>
      <c r="D325" s="24"/>
      <c r="I325" s="31"/>
      <c r="J325" s="31"/>
      <c r="K325" s="31" t="str">
        <f t="shared" si="10"/>
        <v/>
      </c>
      <c r="M325" s="41" t="str">
        <f t="shared" si="11"/>
        <v/>
      </c>
      <c r="O325" s="13" t="s">
        <v>410</v>
      </c>
    </row>
    <row r="326" spans="3:15">
      <c r="C326" s="20">
        <v>320</v>
      </c>
      <c r="D326" s="24"/>
      <c r="I326" s="31"/>
      <c r="J326" s="31"/>
      <c r="K326" s="31" t="str">
        <f t="shared" si="10"/>
        <v/>
      </c>
      <c r="M326" s="41" t="str">
        <f t="shared" si="11"/>
        <v/>
      </c>
      <c r="O326" s="13" t="s">
        <v>410</v>
      </c>
    </row>
    <row r="327" spans="3:15">
      <c r="C327" s="20">
        <v>321</v>
      </c>
      <c r="D327" s="24"/>
      <c r="I327" s="31"/>
      <c r="J327" s="31"/>
      <c r="K327" s="31" t="str">
        <f t="shared" si="10"/>
        <v/>
      </c>
      <c r="M327" s="41" t="str">
        <f t="shared" si="11"/>
        <v/>
      </c>
      <c r="O327" s="13" t="s">
        <v>410</v>
      </c>
    </row>
    <row r="328" spans="3:15">
      <c r="C328" s="20">
        <v>322</v>
      </c>
      <c r="D328" s="24"/>
      <c r="I328" s="31"/>
      <c r="J328" s="31"/>
      <c r="K328" s="31" t="str">
        <f t="shared" ref="K328:K391" si="12">IF(K327="","",IF(K327=K327+J328-I328,"",K327+J328-I328))</f>
        <v/>
      </c>
      <c r="M328" s="41" t="str">
        <f t="shared" ref="M328:M391" si="13">IF(L328="SP-01","パン",IF(L328="SR-01","ご飯もの",IF(L328="SS-01","おかず",IF(L328="SD-01","飲料",IF(L328="ST-01","菓子類",IF(L328="SO-01","その他",IF(L328="MP-01","デスクトップパソコン",IF(L328="ML-01","ノートパソコン",IF(L328="MP-02","パソコンパーツ",IF(L328="MP-03","パソコン周辺機器",IF(L328="MS-01","スマートフォン本体",IF(L328="MT-01","タブレット本体",IF(L328="MM-01","携帯電話本体",IF(L328="MC-01","充電器",IF(L328="MC-02","カメラ",IF(L328="ME-01","家電",IF(L328="MA-01","オーディオ機器",IF(L328="MH-01","電気工具",IF(L328="MO-01","その他",IF(L328="DC-01","洋服",IF(L328="DS-01","靴",IF(L328="DW-01","時計",IF(L328="DA-01","アクセサリー",IF(L328="DO-01","その他",IF(L328="SD-01","食器",IF(L328="SF-01","家具",IF(L328="SB-01","寝具",IF(L328="SS-01","小物",IF(L328="SO-01","その他",IF(L328="OS-01","筆記具",IF(L328="ON-01","ノート",IF(L328="OR-01","ルーズリーフ",IF(L328="OM-01","工具",IF(L328="OO-01","その他",IF(L328="BN-01","小説",IF(L328="BN-02","新書",IF(L328="BM-01","雑誌",IF(L328="BC-01","漫画",IF(L328="BE-01","教育",IF(L328="BO-01","その他",IF(L328="CI-01","交通ICカード",IF(L328="CC-01","電子マネー",IF(L328="CC-02","クラウド課金",IF(L328="CG-01","ゲーム課金",IF(L328="CO-01","その他",IF(L328="IS-01","給与",IF(L328="IB-01","償却業務",IF(L328="IO-01","その他",IF(L328="AA-01","調整",IF(L328="AS-01","機密",IF(L328="AO-01","その他","")))))))))))))))))))))))))))))))))))))))))))))))))))</f>
        <v/>
      </c>
      <c r="O328" s="13" t="s">
        <v>410</v>
      </c>
    </row>
    <row r="329" spans="3:15">
      <c r="C329" s="20">
        <v>323</v>
      </c>
      <c r="D329" s="24"/>
      <c r="I329" s="31"/>
      <c r="J329" s="31"/>
      <c r="K329" s="31" t="str">
        <f t="shared" si="12"/>
        <v/>
      </c>
      <c r="M329" s="41" t="str">
        <f t="shared" si="13"/>
        <v/>
      </c>
      <c r="O329" s="13" t="s">
        <v>410</v>
      </c>
    </row>
    <row r="330" spans="3:15">
      <c r="C330" s="20">
        <v>324</v>
      </c>
      <c r="D330" s="24"/>
      <c r="I330" s="31"/>
      <c r="J330" s="31"/>
      <c r="K330" s="31" t="str">
        <f t="shared" si="12"/>
        <v/>
      </c>
      <c r="M330" s="41" t="str">
        <f t="shared" si="13"/>
        <v/>
      </c>
      <c r="O330" s="13" t="s">
        <v>410</v>
      </c>
    </row>
    <row r="331" spans="3:15">
      <c r="C331" s="20">
        <v>325</v>
      </c>
      <c r="D331" s="24"/>
      <c r="I331" s="31"/>
      <c r="J331" s="31"/>
      <c r="K331" s="31" t="str">
        <f t="shared" si="12"/>
        <v/>
      </c>
      <c r="M331" s="41" t="str">
        <f t="shared" si="13"/>
        <v/>
      </c>
      <c r="O331" s="13" t="s">
        <v>410</v>
      </c>
    </row>
    <row r="332" spans="3:15">
      <c r="C332" s="20">
        <v>326</v>
      </c>
      <c r="D332" s="24"/>
      <c r="I332" s="31"/>
      <c r="J332" s="31"/>
      <c r="K332" s="31" t="str">
        <f t="shared" si="12"/>
        <v/>
      </c>
      <c r="M332" s="41" t="str">
        <f t="shared" si="13"/>
        <v/>
      </c>
      <c r="O332" s="13" t="s">
        <v>410</v>
      </c>
    </row>
    <row r="333" spans="3:15">
      <c r="C333" s="20">
        <v>327</v>
      </c>
      <c r="D333" s="24"/>
      <c r="I333" s="31"/>
      <c r="J333" s="31"/>
      <c r="K333" s="31" t="str">
        <f t="shared" si="12"/>
        <v/>
      </c>
      <c r="M333" s="41" t="str">
        <f t="shared" si="13"/>
        <v/>
      </c>
      <c r="O333" s="13" t="s">
        <v>410</v>
      </c>
    </row>
    <row r="334" spans="3:15">
      <c r="C334" s="20">
        <v>328</v>
      </c>
      <c r="D334" s="24"/>
      <c r="I334" s="31"/>
      <c r="J334" s="31"/>
      <c r="K334" s="31" t="str">
        <f t="shared" si="12"/>
        <v/>
      </c>
      <c r="M334" s="41" t="str">
        <f t="shared" si="13"/>
        <v/>
      </c>
      <c r="O334" s="13" t="s">
        <v>410</v>
      </c>
    </row>
    <row r="335" spans="3:15">
      <c r="C335" s="20">
        <v>329</v>
      </c>
      <c r="D335" s="24"/>
      <c r="I335" s="31"/>
      <c r="J335" s="31"/>
      <c r="K335" s="31" t="str">
        <f t="shared" si="12"/>
        <v/>
      </c>
      <c r="M335" s="41" t="str">
        <f t="shared" si="13"/>
        <v/>
      </c>
      <c r="O335" s="13" t="s">
        <v>410</v>
      </c>
    </row>
    <row r="336" spans="3:15">
      <c r="C336" s="20">
        <v>330</v>
      </c>
      <c r="D336" s="24"/>
      <c r="I336" s="31"/>
      <c r="J336" s="31"/>
      <c r="K336" s="31" t="str">
        <f t="shared" si="12"/>
        <v/>
      </c>
      <c r="M336" s="41" t="str">
        <f t="shared" si="13"/>
        <v/>
      </c>
      <c r="O336" s="13" t="s">
        <v>410</v>
      </c>
    </row>
    <row r="337" spans="3:15">
      <c r="C337" s="20">
        <v>331</v>
      </c>
      <c r="D337" s="24"/>
      <c r="I337" s="31"/>
      <c r="J337" s="31"/>
      <c r="K337" s="31" t="str">
        <f t="shared" si="12"/>
        <v/>
      </c>
      <c r="M337" s="41" t="str">
        <f t="shared" si="13"/>
        <v/>
      </c>
      <c r="O337" s="13" t="s">
        <v>410</v>
      </c>
    </row>
    <row r="338" spans="3:15">
      <c r="C338" s="20">
        <v>332</v>
      </c>
      <c r="D338" s="24"/>
      <c r="I338" s="31"/>
      <c r="J338" s="31"/>
      <c r="K338" s="31" t="str">
        <f t="shared" si="12"/>
        <v/>
      </c>
      <c r="M338" s="41" t="str">
        <f t="shared" si="13"/>
        <v/>
      </c>
      <c r="O338" s="13" t="s">
        <v>410</v>
      </c>
    </row>
    <row r="339" spans="3:15">
      <c r="C339" s="20">
        <v>333</v>
      </c>
      <c r="D339" s="24"/>
      <c r="I339" s="31"/>
      <c r="J339" s="31"/>
      <c r="K339" s="31" t="str">
        <f t="shared" si="12"/>
        <v/>
      </c>
      <c r="M339" s="41" t="str">
        <f t="shared" si="13"/>
        <v/>
      </c>
      <c r="O339" s="13" t="s">
        <v>410</v>
      </c>
    </row>
    <row r="340" spans="3:15">
      <c r="C340" s="20">
        <v>334</v>
      </c>
      <c r="D340" s="24"/>
      <c r="I340" s="31"/>
      <c r="J340" s="31"/>
      <c r="K340" s="31" t="str">
        <f t="shared" si="12"/>
        <v/>
      </c>
      <c r="M340" s="41" t="str">
        <f t="shared" si="13"/>
        <v/>
      </c>
      <c r="O340" s="13" t="s">
        <v>410</v>
      </c>
    </row>
    <row r="341" spans="3:15">
      <c r="C341" s="20">
        <v>335</v>
      </c>
      <c r="D341" s="24"/>
      <c r="I341" s="31"/>
      <c r="J341" s="31"/>
      <c r="K341" s="31" t="str">
        <f t="shared" si="12"/>
        <v/>
      </c>
      <c r="M341" s="41" t="str">
        <f t="shared" si="13"/>
        <v/>
      </c>
      <c r="O341" s="13" t="s">
        <v>410</v>
      </c>
    </row>
    <row r="342" spans="3:15">
      <c r="C342" s="20">
        <v>336</v>
      </c>
      <c r="D342" s="24"/>
      <c r="I342" s="31"/>
      <c r="J342" s="31"/>
      <c r="K342" s="31" t="str">
        <f t="shared" si="12"/>
        <v/>
      </c>
      <c r="M342" s="41" t="str">
        <f t="shared" si="13"/>
        <v/>
      </c>
      <c r="O342" s="13" t="s">
        <v>410</v>
      </c>
    </row>
    <row r="343" spans="3:15">
      <c r="C343" s="20">
        <v>337</v>
      </c>
      <c r="D343" s="24"/>
      <c r="I343" s="31"/>
      <c r="J343" s="31"/>
      <c r="K343" s="31" t="str">
        <f t="shared" si="12"/>
        <v/>
      </c>
      <c r="M343" s="41" t="str">
        <f t="shared" si="13"/>
        <v/>
      </c>
      <c r="O343" s="13" t="s">
        <v>410</v>
      </c>
    </row>
    <row r="344" spans="3:15">
      <c r="C344" s="20">
        <v>338</v>
      </c>
      <c r="D344" s="24"/>
      <c r="I344" s="31"/>
      <c r="J344" s="31"/>
      <c r="K344" s="31" t="str">
        <f t="shared" si="12"/>
        <v/>
      </c>
      <c r="M344" s="41" t="str">
        <f t="shared" si="13"/>
        <v/>
      </c>
      <c r="O344" s="13" t="s">
        <v>410</v>
      </c>
    </row>
    <row r="345" spans="3:15">
      <c r="C345" s="20">
        <v>339</v>
      </c>
      <c r="D345" s="24"/>
      <c r="I345" s="31"/>
      <c r="J345" s="31"/>
      <c r="K345" s="31" t="str">
        <f t="shared" si="12"/>
        <v/>
      </c>
      <c r="M345" s="41" t="str">
        <f t="shared" si="13"/>
        <v/>
      </c>
      <c r="O345" s="13" t="s">
        <v>410</v>
      </c>
    </row>
    <row r="346" spans="3:15">
      <c r="C346" s="20">
        <v>340</v>
      </c>
      <c r="D346" s="24"/>
      <c r="I346" s="31"/>
      <c r="J346" s="31"/>
      <c r="K346" s="31" t="str">
        <f t="shared" si="12"/>
        <v/>
      </c>
      <c r="M346" s="41" t="str">
        <f t="shared" si="13"/>
        <v/>
      </c>
      <c r="O346" s="13" t="s">
        <v>410</v>
      </c>
    </row>
    <row r="347" spans="3:15">
      <c r="C347" s="20">
        <v>341</v>
      </c>
      <c r="D347" s="24"/>
      <c r="I347" s="31"/>
      <c r="J347" s="31"/>
      <c r="K347" s="31" t="str">
        <f t="shared" si="12"/>
        <v/>
      </c>
      <c r="M347" s="41" t="str">
        <f t="shared" si="13"/>
        <v/>
      </c>
      <c r="O347" s="13" t="s">
        <v>410</v>
      </c>
    </row>
    <row r="348" spans="3:15">
      <c r="C348" s="20">
        <v>342</v>
      </c>
      <c r="D348" s="24"/>
      <c r="I348" s="31"/>
      <c r="J348" s="31"/>
      <c r="K348" s="31" t="str">
        <f t="shared" si="12"/>
        <v/>
      </c>
      <c r="M348" s="41" t="str">
        <f t="shared" si="13"/>
        <v/>
      </c>
      <c r="O348" s="13" t="s">
        <v>410</v>
      </c>
    </row>
    <row r="349" spans="3:15">
      <c r="C349" s="20">
        <v>343</v>
      </c>
      <c r="D349" s="24"/>
      <c r="I349" s="31"/>
      <c r="J349" s="31"/>
      <c r="K349" s="31" t="str">
        <f t="shared" si="12"/>
        <v/>
      </c>
      <c r="M349" s="41" t="str">
        <f t="shared" si="13"/>
        <v/>
      </c>
      <c r="O349" s="13" t="s">
        <v>410</v>
      </c>
    </row>
    <row r="350" spans="3:15">
      <c r="C350" s="20">
        <v>344</v>
      </c>
      <c r="D350" s="24"/>
      <c r="I350" s="31"/>
      <c r="J350" s="31"/>
      <c r="K350" s="31" t="str">
        <f t="shared" si="12"/>
        <v/>
      </c>
      <c r="M350" s="41" t="str">
        <f t="shared" si="13"/>
        <v/>
      </c>
      <c r="O350" s="13" t="s">
        <v>410</v>
      </c>
    </row>
    <row r="351" spans="3:15">
      <c r="C351" s="20">
        <v>345</v>
      </c>
      <c r="D351" s="24"/>
      <c r="I351" s="31"/>
      <c r="J351" s="31"/>
      <c r="K351" s="31" t="str">
        <f t="shared" si="12"/>
        <v/>
      </c>
      <c r="M351" s="41" t="str">
        <f t="shared" si="13"/>
        <v/>
      </c>
      <c r="O351" s="13" t="s">
        <v>410</v>
      </c>
    </row>
    <row r="352" spans="3:15">
      <c r="C352" s="20">
        <v>346</v>
      </c>
      <c r="D352" s="24"/>
      <c r="I352" s="31"/>
      <c r="J352" s="31"/>
      <c r="K352" s="31" t="str">
        <f t="shared" si="12"/>
        <v/>
      </c>
      <c r="M352" s="41" t="str">
        <f t="shared" si="13"/>
        <v/>
      </c>
      <c r="O352" s="13" t="s">
        <v>410</v>
      </c>
    </row>
    <row r="353" spans="3:15">
      <c r="C353" s="20">
        <v>347</v>
      </c>
      <c r="D353" s="24"/>
      <c r="I353" s="31"/>
      <c r="J353" s="31"/>
      <c r="K353" s="31" t="str">
        <f t="shared" si="12"/>
        <v/>
      </c>
      <c r="M353" s="41" t="str">
        <f t="shared" si="13"/>
        <v/>
      </c>
      <c r="O353" s="13" t="s">
        <v>410</v>
      </c>
    </row>
    <row r="354" spans="3:15">
      <c r="C354" s="20">
        <v>348</v>
      </c>
      <c r="D354" s="24"/>
      <c r="I354" s="31"/>
      <c r="J354" s="31"/>
      <c r="K354" s="31" t="str">
        <f t="shared" si="12"/>
        <v/>
      </c>
      <c r="M354" s="41" t="str">
        <f t="shared" si="13"/>
        <v/>
      </c>
      <c r="O354" s="13" t="s">
        <v>410</v>
      </c>
    </row>
    <row r="355" spans="3:15">
      <c r="C355" s="20">
        <v>349</v>
      </c>
      <c r="D355" s="24"/>
      <c r="I355" s="31"/>
      <c r="J355" s="31"/>
      <c r="K355" s="31" t="str">
        <f t="shared" si="12"/>
        <v/>
      </c>
      <c r="M355" s="41" t="str">
        <f t="shared" si="13"/>
        <v/>
      </c>
      <c r="O355" s="13" t="s">
        <v>410</v>
      </c>
    </row>
    <row r="356" spans="3:15">
      <c r="C356" s="20">
        <v>350</v>
      </c>
      <c r="D356" s="24"/>
      <c r="I356" s="31"/>
      <c r="J356" s="31"/>
      <c r="K356" s="31" t="str">
        <f t="shared" si="12"/>
        <v/>
      </c>
      <c r="M356" s="41" t="str">
        <f t="shared" si="13"/>
        <v/>
      </c>
      <c r="O356" s="13" t="s">
        <v>410</v>
      </c>
    </row>
    <row r="357" spans="3:15">
      <c r="C357" s="20">
        <v>351</v>
      </c>
      <c r="D357" s="24"/>
      <c r="I357" s="31"/>
      <c r="J357" s="31"/>
      <c r="K357" s="31" t="str">
        <f t="shared" si="12"/>
        <v/>
      </c>
      <c r="M357" s="41" t="str">
        <f t="shared" si="13"/>
        <v/>
      </c>
      <c r="O357" s="13" t="s">
        <v>410</v>
      </c>
    </row>
    <row r="358" spans="3:15">
      <c r="C358" s="20">
        <v>352</v>
      </c>
      <c r="D358" s="24"/>
      <c r="I358" s="31"/>
      <c r="J358" s="31"/>
      <c r="K358" s="31" t="str">
        <f t="shared" si="12"/>
        <v/>
      </c>
      <c r="M358" s="41" t="str">
        <f t="shared" si="13"/>
        <v/>
      </c>
      <c r="O358" s="13" t="s">
        <v>410</v>
      </c>
    </row>
    <row r="359" spans="3:15">
      <c r="C359" s="20">
        <v>353</v>
      </c>
      <c r="D359" s="24"/>
      <c r="I359" s="31"/>
      <c r="J359" s="31"/>
      <c r="K359" s="31" t="str">
        <f t="shared" si="12"/>
        <v/>
      </c>
      <c r="M359" s="41" t="str">
        <f t="shared" si="13"/>
        <v/>
      </c>
      <c r="O359" s="13" t="s">
        <v>410</v>
      </c>
    </row>
    <row r="360" spans="3:15">
      <c r="C360" s="20">
        <v>354</v>
      </c>
      <c r="D360" s="24"/>
      <c r="I360" s="31"/>
      <c r="J360" s="31"/>
      <c r="K360" s="31" t="str">
        <f t="shared" si="12"/>
        <v/>
      </c>
      <c r="M360" s="41" t="str">
        <f t="shared" si="13"/>
        <v/>
      </c>
      <c r="O360" s="13" t="s">
        <v>410</v>
      </c>
    </row>
    <row r="361" spans="3:15">
      <c r="C361" s="20">
        <v>355</v>
      </c>
      <c r="D361" s="24"/>
      <c r="I361" s="31"/>
      <c r="J361" s="31"/>
      <c r="K361" s="31" t="str">
        <f t="shared" si="12"/>
        <v/>
      </c>
      <c r="M361" s="41" t="str">
        <f t="shared" si="13"/>
        <v/>
      </c>
      <c r="O361" s="13" t="s">
        <v>410</v>
      </c>
    </row>
    <row r="362" spans="3:15">
      <c r="C362" s="20">
        <v>356</v>
      </c>
      <c r="D362" s="24"/>
      <c r="I362" s="31"/>
      <c r="J362" s="31"/>
      <c r="K362" s="31" t="str">
        <f t="shared" si="12"/>
        <v/>
      </c>
      <c r="M362" s="41" t="str">
        <f t="shared" si="13"/>
        <v/>
      </c>
      <c r="O362" s="13" t="s">
        <v>410</v>
      </c>
    </row>
    <row r="363" spans="3:15">
      <c r="C363" s="20">
        <v>357</v>
      </c>
      <c r="D363" s="24"/>
      <c r="I363" s="31"/>
      <c r="J363" s="31"/>
      <c r="K363" s="31" t="str">
        <f t="shared" si="12"/>
        <v/>
      </c>
      <c r="M363" s="41" t="str">
        <f t="shared" si="13"/>
        <v/>
      </c>
      <c r="O363" s="13" t="s">
        <v>410</v>
      </c>
    </row>
    <row r="364" spans="3:15">
      <c r="C364" s="20">
        <v>358</v>
      </c>
      <c r="D364" s="24"/>
      <c r="I364" s="31"/>
      <c r="J364" s="31"/>
      <c r="K364" s="31" t="str">
        <f t="shared" si="12"/>
        <v/>
      </c>
      <c r="M364" s="41" t="str">
        <f t="shared" si="13"/>
        <v/>
      </c>
      <c r="O364" s="13" t="s">
        <v>410</v>
      </c>
    </row>
    <row r="365" spans="3:15">
      <c r="C365" s="20">
        <v>359</v>
      </c>
      <c r="D365" s="24"/>
      <c r="I365" s="31"/>
      <c r="J365" s="31"/>
      <c r="K365" s="31" t="str">
        <f t="shared" si="12"/>
        <v/>
      </c>
      <c r="M365" s="41" t="str">
        <f t="shared" si="13"/>
        <v/>
      </c>
      <c r="O365" s="13" t="s">
        <v>410</v>
      </c>
    </row>
    <row r="366" spans="3:15">
      <c r="C366" s="20">
        <v>360</v>
      </c>
      <c r="D366" s="24"/>
      <c r="I366" s="31"/>
      <c r="J366" s="31"/>
      <c r="K366" s="31" t="str">
        <f t="shared" si="12"/>
        <v/>
      </c>
      <c r="M366" s="41" t="str">
        <f t="shared" si="13"/>
        <v/>
      </c>
      <c r="O366" s="13" t="s">
        <v>410</v>
      </c>
    </row>
    <row r="367" spans="3:15">
      <c r="C367" s="20">
        <v>361</v>
      </c>
      <c r="D367" s="24"/>
      <c r="I367" s="31"/>
      <c r="J367" s="31"/>
      <c r="K367" s="31" t="str">
        <f t="shared" si="12"/>
        <v/>
      </c>
      <c r="M367" s="41" t="str">
        <f t="shared" si="13"/>
        <v/>
      </c>
      <c r="O367" s="13" t="s">
        <v>410</v>
      </c>
    </row>
    <row r="368" spans="3:15">
      <c r="C368" s="20">
        <v>362</v>
      </c>
      <c r="D368" s="24"/>
      <c r="I368" s="31"/>
      <c r="J368" s="31"/>
      <c r="K368" s="31" t="str">
        <f t="shared" si="12"/>
        <v/>
      </c>
      <c r="M368" s="41" t="str">
        <f t="shared" si="13"/>
        <v/>
      </c>
      <c r="O368" s="13" t="s">
        <v>410</v>
      </c>
    </row>
    <row r="369" spans="3:15">
      <c r="C369" s="20">
        <v>363</v>
      </c>
      <c r="D369" s="24"/>
      <c r="I369" s="31"/>
      <c r="J369" s="31"/>
      <c r="K369" s="31" t="str">
        <f t="shared" si="12"/>
        <v/>
      </c>
      <c r="M369" s="41" t="str">
        <f t="shared" si="13"/>
        <v/>
      </c>
      <c r="O369" s="13" t="s">
        <v>410</v>
      </c>
    </row>
    <row r="370" spans="3:15">
      <c r="C370" s="20">
        <v>364</v>
      </c>
      <c r="D370" s="24"/>
      <c r="I370" s="31"/>
      <c r="J370" s="31"/>
      <c r="K370" s="31" t="str">
        <f t="shared" si="12"/>
        <v/>
      </c>
      <c r="M370" s="41" t="str">
        <f t="shared" si="13"/>
        <v/>
      </c>
      <c r="O370" s="13" t="s">
        <v>410</v>
      </c>
    </row>
    <row r="371" spans="3:15">
      <c r="C371" s="20">
        <v>365</v>
      </c>
      <c r="D371" s="24"/>
      <c r="I371" s="31"/>
      <c r="J371" s="31"/>
      <c r="K371" s="31" t="str">
        <f t="shared" si="12"/>
        <v/>
      </c>
      <c r="M371" s="41" t="str">
        <f t="shared" si="13"/>
        <v/>
      </c>
      <c r="O371" s="13" t="s">
        <v>410</v>
      </c>
    </row>
    <row r="372" spans="3:15">
      <c r="C372" s="20">
        <v>366</v>
      </c>
      <c r="D372" s="24"/>
      <c r="I372" s="31"/>
      <c r="J372" s="31"/>
      <c r="K372" s="31" t="str">
        <f t="shared" si="12"/>
        <v/>
      </c>
      <c r="M372" s="41" t="str">
        <f t="shared" si="13"/>
        <v/>
      </c>
      <c r="O372" s="13" t="s">
        <v>410</v>
      </c>
    </row>
    <row r="373" spans="3:15">
      <c r="C373" s="20">
        <v>367</v>
      </c>
      <c r="D373" s="24"/>
      <c r="I373" s="31"/>
      <c r="J373" s="31"/>
      <c r="K373" s="31" t="str">
        <f t="shared" si="12"/>
        <v/>
      </c>
      <c r="M373" s="41" t="str">
        <f t="shared" si="13"/>
        <v/>
      </c>
      <c r="O373" s="13" t="s">
        <v>410</v>
      </c>
    </row>
    <row r="374" spans="3:15">
      <c r="C374" s="20">
        <v>368</v>
      </c>
      <c r="D374" s="24"/>
      <c r="I374" s="31"/>
      <c r="J374" s="31"/>
      <c r="K374" s="31" t="str">
        <f t="shared" si="12"/>
        <v/>
      </c>
      <c r="M374" s="41" t="str">
        <f t="shared" si="13"/>
        <v/>
      </c>
      <c r="O374" s="13" t="s">
        <v>410</v>
      </c>
    </row>
    <row r="375" spans="3:15">
      <c r="C375" s="20">
        <v>369</v>
      </c>
      <c r="D375" s="24"/>
      <c r="I375" s="31"/>
      <c r="J375" s="31"/>
      <c r="K375" s="31" t="str">
        <f t="shared" si="12"/>
        <v/>
      </c>
      <c r="M375" s="41" t="str">
        <f t="shared" si="13"/>
        <v/>
      </c>
      <c r="O375" s="13" t="s">
        <v>410</v>
      </c>
    </row>
    <row r="376" spans="3:15">
      <c r="C376" s="20">
        <v>370</v>
      </c>
      <c r="D376" s="24"/>
      <c r="I376" s="31"/>
      <c r="J376" s="31"/>
      <c r="K376" s="31" t="str">
        <f t="shared" si="12"/>
        <v/>
      </c>
      <c r="M376" s="41" t="str">
        <f t="shared" si="13"/>
        <v/>
      </c>
      <c r="O376" s="13" t="s">
        <v>410</v>
      </c>
    </row>
    <row r="377" spans="3:15">
      <c r="C377" s="20">
        <v>371</v>
      </c>
      <c r="D377" s="24"/>
      <c r="I377" s="31"/>
      <c r="J377" s="31"/>
      <c r="K377" s="31" t="str">
        <f t="shared" si="12"/>
        <v/>
      </c>
      <c r="M377" s="41" t="str">
        <f t="shared" si="13"/>
        <v/>
      </c>
      <c r="O377" s="13" t="s">
        <v>410</v>
      </c>
    </row>
    <row r="378" spans="3:15">
      <c r="C378" s="20">
        <v>372</v>
      </c>
      <c r="D378" s="24"/>
      <c r="I378" s="31"/>
      <c r="J378" s="31"/>
      <c r="K378" s="31" t="str">
        <f t="shared" si="12"/>
        <v/>
      </c>
      <c r="M378" s="41" t="str">
        <f t="shared" si="13"/>
        <v/>
      </c>
      <c r="O378" s="13" t="s">
        <v>410</v>
      </c>
    </row>
    <row r="379" spans="3:15">
      <c r="C379" s="20">
        <v>373</v>
      </c>
      <c r="D379" s="24"/>
      <c r="I379" s="31"/>
      <c r="J379" s="31"/>
      <c r="K379" s="31" t="str">
        <f t="shared" si="12"/>
        <v/>
      </c>
      <c r="M379" s="41" t="str">
        <f t="shared" si="13"/>
        <v/>
      </c>
      <c r="O379" s="13" t="s">
        <v>410</v>
      </c>
    </row>
    <row r="380" spans="3:15">
      <c r="C380" s="20">
        <v>374</v>
      </c>
      <c r="D380" s="24"/>
      <c r="I380" s="31"/>
      <c r="J380" s="31"/>
      <c r="K380" s="31" t="str">
        <f t="shared" si="12"/>
        <v/>
      </c>
      <c r="M380" s="41" t="str">
        <f t="shared" si="13"/>
        <v/>
      </c>
      <c r="O380" s="13" t="s">
        <v>410</v>
      </c>
    </row>
    <row r="381" spans="3:15">
      <c r="C381" s="20">
        <v>375</v>
      </c>
      <c r="D381" s="24"/>
      <c r="I381" s="31"/>
      <c r="J381" s="31"/>
      <c r="K381" s="31" t="str">
        <f t="shared" si="12"/>
        <v/>
      </c>
      <c r="M381" s="41" t="str">
        <f t="shared" si="13"/>
        <v/>
      </c>
      <c r="O381" s="13" t="s">
        <v>410</v>
      </c>
    </row>
    <row r="382" spans="3:15">
      <c r="C382" s="20">
        <v>376</v>
      </c>
      <c r="D382" s="24"/>
      <c r="I382" s="31"/>
      <c r="J382" s="31"/>
      <c r="K382" s="31" t="str">
        <f t="shared" si="12"/>
        <v/>
      </c>
      <c r="M382" s="41" t="str">
        <f t="shared" si="13"/>
        <v/>
      </c>
      <c r="O382" s="13" t="s">
        <v>410</v>
      </c>
    </row>
    <row r="383" spans="3:15">
      <c r="C383" s="20">
        <v>377</v>
      </c>
      <c r="D383" s="24"/>
      <c r="I383" s="31"/>
      <c r="J383" s="31"/>
      <c r="K383" s="31" t="str">
        <f t="shared" si="12"/>
        <v/>
      </c>
      <c r="M383" s="41" t="str">
        <f t="shared" si="13"/>
        <v/>
      </c>
      <c r="O383" s="13" t="s">
        <v>410</v>
      </c>
    </row>
    <row r="384" spans="3:15">
      <c r="C384" s="20">
        <v>378</v>
      </c>
      <c r="D384" s="24"/>
      <c r="I384" s="31"/>
      <c r="J384" s="31"/>
      <c r="K384" s="31" t="str">
        <f t="shared" si="12"/>
        <v/>
      </c>
      <c r="M384" s="41" t="str">
        <f t="shared" si="13"/>
        <v/>
      </c>
      <c r="O384" s="13" t="s">
        <v>410</v>
      </c>
    </row>
    <row r="385" spans="3:15">
      <c r="C385" s="20">
        <v>379</v>
      </c>
      <c r="D385" s="24"/>
      <c r="I385" s="31"/>
      <c r="J385" s="31"/>
      <c r="K385" s="31" t="str">
        <f t="shared" si="12"/>
        <v/>
      </c>
      <c r="M385" s="41" t="str">
        <f t="shared" si="13"/>
        <v/>
      </c>
      <c r="O385" s="13" t="s">
        <v>410</v>
      </c>
    </row>
    <row r="386" spans="3:15">
      <c r="C386" s="20">
        <v>380</v>
      </c>
      <c r="D386" s="24"/>
      <c r="I386" s="31"/>
      <c r="J386" s="31"/>
      <c r="K386" s="31" t="str">
        <f t="shared" si="12"/>
        <v/>
      </c>
      <c r="M386" s="41" t="str">
        <f t="shared" si="13"/>
        <v/>
      </c>
      <c r="O386" s="13" t="s">
        <v>410</v>
      </c>
    </row>
    <row r="387" spans="3:15">
      <c r="C387" s="20">
        <v>381</v>
      </c>
      <c r="D387" s="24"/>
      <c r="I387" s="31"/>
      <c r="J387" s="31"/>
      <c r="K387" s="31" t="str">
        <f t="shared" si="12"/>
        <v/>
      </c>
      <c r="M387" s="41" t="str">
        <f t="shared" si="13"/>
        <v/>
      </c>
      <c r="O387" s="13" t="s">
        <v>410</v>
      </c>
    </row>
    <row r="388" spans="3:15">
      <c r="C388" s="20">
        <v>382</v>
      </c>
      <c r="D388" s="24"/>
      <c r="I388" s="31"/>
      <c r="J388" s="31"/>
      <c r="K388" s="31" t="str">
        <f t="shared" si="12"/>
        <v/>
      </c>
      <c r="M388" s="41" t="str">
        <f t="shared" si="13"/>
        <v/>
      </c>
      <c r="O388" s="13" t="s">
        <v>410</v>
      </c>
    </row>
    <row r="389" spans="3:15">
      <c r="C389" s="20">
        <v>383</v>
      </c>
      <c r="D389" s="24"/>
      <c r="I389" s="31"/>
      <c r="J389" s="31"/>
      <c r="K389" s="31" t="str">
        <f t="shared" si="12"/>
        <v/>
      </c>
      <c r="M389" s="41" t="str">
        <f t="shared" si="13"/>
        <v/>
      </c>
      <c r="O389" s="13" t="s">
        <v>410</v>
      </c>
    </row>
    <row r="390" spans="3:15">
      <c r="C390" s="20">
        <v>384</v>
      </c>
      <c r="D390" s="24"/>
      <c r="I390" s="31"/>
      <c r="J390" s="31"/>
      <c r="K390" s="31" t="str">
        <f t="shared" si="12"/>
        <v/>
      </c>
      <c r="M390" s="41" t="str">
        <f t="shared" si="13"/>
        <v/>
      </c>
      <c r="O390" s="13" t="s">
        <v>410</v>
      </c>
    </row>
    <row r="391" spans="3:15">
      <c r="C391" s="20">
        <v>385</v>
      </c>
      <c r="D391" s="24"/>
      <c r="I391" s="31"/>
      <c r="J391" s="31"/>
      <c r="K391" s="31" t="str">
        <f t="shared" si="12"/>
        <v/>
      </c>
      <c r="M391" s="41" t="str">
        <f t="shared" si="13"/>
        <v/>
      </c>
      <c r="O391" s="13" t="s">
        <v>410</v>
      </c>
    </row>
    <row r="392" spans="3:15">
      <c r="C392" s="20">
        <v>386</v>
      </c>
      <c r="D392" s="24"/>
      <c r="I392" s="31"/>
      <c r="J392" s="31"/>
      <c r="K392" s="31" t="str">
        <f t="shared" ref="K392:K455" si="14">IF(K391="","",IF(K391=K391+J392-I392,"",K391+J392-I392))</f>
        <v/>
      </c>
      <c r="M392" s="41" t="str">
        <f t="shared" ref="M392:M455" si="15">IF(L392="SP-01","パン",IF(L392="SR-01","ご飯もの",IF(L392="SS-01","おかず",IF(L392="SD-01","飲料",IF(L392="ST-01","菓子類",IF(L392="SO-01","その他",IF(L392="MP-01","デスクトップパソコン",IF(L392="ML-01","ノートパソコン",IF(L392="MP-02","パソコンパーツ",IF(L392="MP-03","パソコン周辺機器",IF(L392="MS-01","スマートフォン本体",IF(L392="MT-01","タブレット本体",IF(L392="MM-01","携帯電話本体",IF(L392="MC-01","充電器",IF(L392="MC-02","カメラ",IF(L392="ME-01","家電",IF(L392="MA-01","オーディオ機器",IF(L392="MH-01","電気工具",IF(L392="MO-01","その他",IF(L392="DC-01","洋服",IF(L392="DS-01","靴",IF(L392="DW-01","時計",IF(L392="DA-01","アクセサリー",IF(L392="DO-01","その他",IF(L392="SD-01","食器",IF(L392="SF-01","家具",IF(L392="SB-01","寝具",IF(L392="SS-01","小物",IF(L392="SO-01","その他",IF(L392="OS-01","筆記具",IF(L392="ON-01","ノート",IF(L392="OR-01","ルーズリーフ",IF(L392="OM-01","工具",IF(L392="OO-01","その他",IF(L392="BN-01","小説",IF(L392="BN-02","新書",IF(L392="BM-01","雑誌",IF(L392="BC-01","漫画",IF(L392="BE-01","教育",IF(L392="BO-01","その他",IF(L392="CI-01","交通ICカード",IF(L392="CC-01","電子マネー",IF(L392="CC-02","クラウド課金",IF(L392="CG-01","ゲーム課金",IF(L392="CO-01","その他",IF(L392="IS-01","給与",IF(L392="IB-01","償却業務",IF(L392="IO-01","その他",IF(L392="AA-01","調整",IF(L392="AS-01","機密",IF(L392="AO-01","その他","")))))))))))))))))))))))))))))))))))))))))))))))))))</f>
        <v/>
      </c>
      <c r="O392" s="13" t="s">
        <v>410</v>
      </c>
    </row>
    <row r="393" spans="3:15">
      <c r="C393" s="20">
        <v>387</v>
      </c>
      <c r="D393" s="24"/>
      <c r="I393" s="31"/>
      <c r="J393" s="31"/>
      <c r="K393" s="31" t="str">
        <f t="shared" si="14"/>
        <v/>
      </c>
      <c r="M393" s="41" t="str">
        <f t="shared" si="15"/>
        <v/>
      </c>
      <c r="O393" s="13" t="s">
        <v>410</v>
      </c>
    </row>
    <row r="394" spans="3:15">
      <c r="C394" s="20">
        <v>388</v>
      </c>
      <c r="D394" s="24"/>
      <c r="I394" s="31"/>
      <c r="J394" s="31"/>
      <c r="K394" s="31" t="str">
        <f t="shared" si="14"/>
        <v/>
      </c>
      <c r="M394" s="41" t="str">
        <f t="shared" si="15"/>
        <v/>
      </c>
      <c r="O394" s="13" t="s">
        <v>410</v>
      </c>
    </row>
    <row r="395" spans="3:15">
      <c r="C395" s="20">
        <v>389</v>
      </c>
      <c r="D395" s="24"/>
      <c r="I395" s="31"/>
      <c r="J395" s="31"/>
      <c r="K395" s="31" t="str">
        <f t="shared" si="14"/>
        <v/>
      </c>
      <c r="M395" s="41" t="str">
        <f t="shared" si="15"/>
        <v/>
      </c>
      <c r="O395" s="13" t="s">
        <v>410</v>
      </c>
    </row>
    <row r="396" spans="3:15">
      <c r="C396" s="20">
        <v>390</v>
      </c>
      <c r="D396" s="24"/>
      <c r="I396" s="31"/>
      <c r="J396" s="31"/>
      <c r="K396" s="31" t="str">
        <f t="shared" si="14"/>
        <v/>
      </c>
      <c r="M396" s="41" t="str">
        <f t="shared" si="15"/>
        <v/>
      </c>
      <c r="O396" s="13" t="s">
        <v>410</v>
      </c>
    </row>
    <row r="397" spans="3:15">
      <c r="C397" s="20">
        <v>391</v>
      </c>
      <c r="D397" s="24"/>
      <c r="I397" s="31"/>
      <c r="J397" s="31"/>
      <c r="K397" s="31" t="str">
        <f t="shared" si="14"/>
        <v/>
      </c>
      <c r="M397" s="41" t="str">
        <f t="shared" si="15"/>
        <v/>
      </c>
      <c r="O397" s="13" t="s">
        <v>410</v>
      </c>
    </row>
    <row r="398" spans="3:15">
      <c r="C398" s="20">
        <v>392</v>
      </c>
      <c r="D398" s="24"/>
      <c r="I398" s="31"/>
      <c r="J398" s="31"/>
      <c r="K398" s="31" t="str">
        <f t="shared" si="14"/>
        <v/>
      </c>
      <c r="M398" s="41" t="str">
        <f t="shared" si="15"/>
        <v/>
      </c>
      <c r="O398" s="13" t="s">
        <v>410</v>
      </c>
    </row>
    <row r="399" spans="3:15">
      <c r="C399" s="20">
        <v>393</v>
      </c>
      <c r="D399" s="24"/>
      <c r="I399" s="31"/>
      <c r="J399" s="31"/>
      <c r="K399" s="31" t="str">
        <f t="shared" si="14"/>
        <v/>
      </c>
      <c r="M399" s="41" t="str">
        <f t="shared" si="15"/>
        <v/>
      </c>
      <c r="O399" s="13" t="s">
        <v>410</v>
      </c>
    </row>
    <row r="400" spans="3:15">
      <c r="C400" s="20">
        <v>394</v>
      </c>
      <c r="D400" s="24"/>
      <c r="I400" s="31"/>
      <c r="J400" s="31"/>
      <c r="K400" s="31" t="str">
        <f t="shared" si="14"/>
        <v/>
      </c>
      <c r="M400" s="41" t="str">
        <f t="shared" si="15"/>
        <v/>
      </c>
      <c r="O400" s="13" t="s">
        <v>410</v>
      </c>
    </row>
    <row r="401" spans="3:15">
      <c r="C401" s="20">
        <v>395</v>
      </c>
      <c r="D401" s="24"/>
      <c r="I401" s="31"/>
      <c r="J401" s="31"/>
      <c r="K401" s="31" t="str">
        <f t="shared" si="14"/>
        <v/>
      </c>
      <c r="M401" s="41" t="str">
        <f t="shared" si="15"/>
        <v/>
      </c>
      <c r="O401" s="13" t="s">
        <v>410</v>
      </c>
    </row>
    <row r="402" spans="3:15">
      <c r="C402" s="20">
        <v>396</v>
      </c>
      <c r="D402" s="24"/>
      <c r="I402" s="31"/>
      <c r="J402" s="31"/>
      <c r="K402" s="31" t="str">
        <f t="shared" si="14"/>
        <v/>
      </c>
      <c r="M402" s="41" t="str">
        <f t="shared" si="15"/>
        <v/>
      </c>
      <c r="O402" s="13" t="s">
        <v>410</v>
      </c>
    </row>
    <row r="403" spans="3:15">
      <c r="C403" s="20">
        <v>397</v>
      </c>
      <c r="D403" s="24"/>
      <c r="I403" s="31"/>
      <c r="J403" s="31"/>
      <c r="K403" s="31" t="str">
        <f t="shared" si="14"/>
        <v/>
      </c>
      <c r="M403" s="41" t="str">
        <f t="shared" si="15"/>
        <v/>
      </c>
      <c r="O403" s="13" t="s">
        <v>410</v>
      </c>
    </row>
    <row r="404" spans="3:15">
      <c r="C404" s="20">
        <v>398</v>
      </c>
      <c r="D404" s="24"/>
      <c r="I404" s="31"/>
      <c r="J404" s="31"/>
      <c r="K404" s="31" t="str">
        <f t="shared" si="14"/>
        <v/>
      </c>
      <c r="M404" s="41" t="str">
        <f t="shared" si="15"/>
        <v/>
      </c>
      <c r="O404" s="13" t="s">
        <v>410</v>
      </c>
    </row>
    <row r="405" spans="3:15">
      <c r="C405" s="20">
        <v>399</v>
      </c>
      <c r="D405" s="24"/>
      <c r="I405" s="31"/>
      <c r="J405" s="31"/>
      <c r="K405" s="31" t="str">
        <f t="shared" si="14"/>
        <v/>
      </c>
      <c r="M405" s="41" t="str">
        <f t="shared" si="15"/>
        <v/>
      </c>
      <c r="O405" s="13" t="s">
        <v>410</v>
      </c>
    </row>
    <row r="406" spans="3:15">
      <c r="C406" s="20">
        <v>400</v>
      </c>
      <c r="D406" s="24"/>
      <c r="I406" s="31"/>
      <c r="J406" s="31"/>
      <c r="K406" s="31" t="str">
        <f t="shared" si="14"/>
        <v/>
      </c>
      <c r="M406" s="41" t="str">
        <f t="shared" si="15"/>
        <v/>
      </c>
      <c r="O406" s="13" t="s">
        <v>410</v>
      </c>
    </row>
    <row r="407" spans="3:15">
      <c r="C407" s="20">
        <v>401</v>
      </c>
      <c r="D407" s="24"/>
      <c r="I407" s="31"/>
      <c r="J407" s="31"/>
      <c r="K407" s="31" t="str">
        <f t="shared" si="14"/>
        <v/>
      </c>
      <c r="M407" s="41" t="str">
        <f t="shared" si="15"/>
        <v/>
      </c>
      <c r="O407" s="13" t="s">
        <v>410</v>
      </c>
    </row>
    <row r="408" spans="3:15">
      <c r="C408" s="20">
        <v>402</v>
      </c>
      <c r="D408" s="24"/>
      <c r="I408" s="31"/>
      <c r="J408" s="31"/>
      <c r="K408" s="31" t="str">
        <f t="shared" si="14"/>
        <v/>
      </c>
      <c r="M408" s="41" t="str">
        <f t="shared" si="15"/>
        <v/>
      </c>
      <c r="O408" s="13" t="s">
        <v>410</v>
      </c>
    </row>
    <row r="409" spans="3:15">
      <c r="C409" s="20">
        <v>403</v>
      </c>
      <c r="D409" s="24"/>
      <c r="I409" s="31"/>
      <c r="J409" s="31"/>
      <c r="K409" s="31" t="str">
        <f t="shared" si="14"/>
        <v/>
      </c>
      <c r="M409" s="41" t="str">
        <f t="shared" si="15"/>
        <v/>
      </c>
      <c r="O409" s="13" t="s">
        <v>410</v>
      </c>
    </row>
    <row r="410" spans="3:15">
      <c r="C410" s="20">
        <v>404</v>
      </c>
      <c r="D410" s="24"/>
      <c r="I410" s="31"/>
      <c r="J410" s="31"/>
      <c r="K410" s="31" t="str">
        <f t="shared" si="14"/>
        <v/>
      </c>
      <c r="M410" s="41" t="str">
        <f t="shared" si="15"/>
        <v/>
      </c>
      <c r="O410" s="13" t="s">
        <v>410</v>
      </c>
    </row>
    <row r="411" spans="3:15">
      <c r="C411" s="20">
        <v>405</v>
      </c>
      <c r="D411" s="24"/>
      <c r="I411" s="31"/>
      <c r="J411" s="31"/>
      <c r="K411" s="31" t="str">
        <f t="shared" si="14"/>
        <v/>
      </c>
      <c r="M411" s="41" t="str">
        <f t="shared" si="15"/>
        <v/>
      </c>
      <c r="O411" s="13" t="s">
        <v>410</v>
      </c>
    </row>
    <row r="412" spans="3:15">
      <c r="C412" s="20">
        <v>406</v>
      </c>
      <c r="D412" s="24"/>
      <c r="I412" s="31"/>
      <c r="J412" s="31"/>
      <c r="K412" s="31" t="str">
        <f t="shared" si="14"/>
        <v/>
      </c>
      <c r="M412" s="41" t="str">
        <f t="shared" si="15"/>
        <v/>
      </c>
      <c r="O412" s="13" t="s">
        <v>410</v>
      </c>
    </row>
    <row r="413" spans="3:15">
      <c r="C413" s="20">
        <v>407</v>
      </c>
      <c r="D413" s="24"/>
      <c r="I413" s="31"/>
      <c r="J413" s="31"/>
      <c r="K413" s="31" t="str">
        <f t="shared" si="14"/>
        <v/>
      </c>
      <c r="M413" s="41" t="str">
        <f t="shared" si="15"/>
        <v/>
      </c>
      <c r="O413" s="13" t="s">
        <v>410</v>
      </c>
    </row>
    <row r="414" spans="3:15">
      <c r="C414" s="20">
        <v>408</v>
      </c>
      <c r="D414" s="24"/>
      <c r="I414" s="31"/>
      <c r="J414" s="31"/>
      <c r="K414" s="31" t="str">
        <f t="shared" si="14"/>
        <v/>
      </c>
      <c r="M414" s="41" t="str">
        <f t="shared" si="15"/>
        <v/>
      </c>
      <c r="O414" s="13" t="s">
        <v>410</v>
      </c>
    </row>
    <row r="415" spans="3:15">
      <c r="C415" s="20">
        <v>409</v>
      </c>
      <c r="D415" s="24"/>
      <c r="I415" s="31"/>
      <c r="J415" s="31"/>
      <c r="K415" s="31" t="str">
        <f t="shared" si="14"/>
        <v/>
      </c>
      <c r="M415" s="41" t="str">
        <f t="shared" si="15"/>
        <v/>
      </c>
      <c r="O415" s="13" t="s">
        <v>410</v>
      </c>
    </row>
    <row r="416" spans="3:15">
      <c r="C416" s="20">
        <v>410</v>
      </c>
      <c r="D416" s="24"/>
      <c r="I416" s="31"/>
      <c r="J416" s="31"/>
      <c r="K416" s="31" t="str">
        <f t="shared" si="14"/>
        <v/>
      </c>
      <c r="M416" s="41" t="str">
        <f t="shared" si="15"/>
        <v/>
      </c>
      <c r="O416" s="13" t="s">
        <v>410</v>
      </c>
    </row>
    <row r="417" spans="3:15">
      <c r="C417" s="20">
        <v>411</v>
      </c>
      <c r="D417" s="24"/>
      <c r="I417" s="31"/>
      <c r="J417" s="31"/>
      <c r="K417" s="31" t="str">
        <f t="shared" si="14"/>
        <v/>
      </c>
      <c r="M417" s="41" t="str">
        <f t="shared" si="15"/>
        <v/>
      </c>
      <c r="O417" s="13" t="s">
        <v>410</v>
      </c>
    </row>
    <row r="418" spans="3:15">
      <c r="C418" s="20">
        <v>412</v>
      </c>
      <c r="D418" s="24"/>
      <c r="I418" s="31"/>
      <c r="J418" s="31"/>
      <c r="K418" s="31" t="str">
        <f t="shared" si="14"/>
        <v/>
      </c>
      <c r="M418" s="41" t="str">
        <f t="shared" si="15"/>
        <v/>
      </c>
      <c r="O418" s="13" t="s">
        <v>410</v>
      </c>
    </row>
    <row r="419" spans="3:15">
      <c r="C419" s="20">
        <v>413</v>
      </c>
      <c r="D419" s="24"/>
      <c r="I419" s="31"/>
      <c r="J419" s="31"/>
      <c r="K419" s="31" t="str">
        <f t="shared" si="14"/>
        <v/>
      </c>
      <c r="M419" s="41" t="str">
        <f t="shared" si="15"/>
        <v/>
      </c>
      <c r="O419" s="13" t="s">
        <v>410</v>
      </c>
    </row>
    <row r="420" spans="3:15">
      <c r="C420" s="20">
        <v>414</v>
      </c>
      <c r="D420" s="24"/>
      <c r="I420" s="31"/>
      <c r="J420" s="31"/>
      <c r="K420" s="31" t="str">
        <f t="shared" si="14"/>
        <v/>
      </c>
      <c r="M420" s="41" t="str">
        <f t="shared" si="15"/>
        <v/>
      </c>
      <c r="O420" s="13" t="s">
        <v>410</v>
      </c>
    </row>
    <row r="421" spans="3:15">
      <c r="C421" s="20">
        <v>415</v>
      </c>
      <c r="D421" s="24"/>
      <c r="I421" s="31"/>
      <c r="J421" s="31"/>
      <c r="K421" s="31" t="str">
        <f t="shared" si="14"/>
        <v/>
      </c>
      <c r="M421" s="41" t="str">
        <f t="shared" si="15"/>
        <v/>
      </c>
      <c r="O421" s="13" t="s">
        <v>410</v>
      </c>
    </row>
    <row r="422" spans="3:15">
      <c r="C422" s="20">
        <v>416</v>
      </c>
      <c r="D422" s="24"/>
      <c r="I422" s="31"/>
      <c r="J422" s="31"/>
      <c r="K422" s="31" t="str">
        <f t="shared" si="14"/>
        <v/>
      </c>
      <c r="M422" s="41" t="str">
        <f t="shared" si="15"/>
        <v/>
      </c>
      <c r="O422" s="13" t="s">
        <v>410</v>
      </c>
    </row>
    <row r="423" spans="3:15">
      <c r="C423" s="20">
        <v>417</v>
      </c>
      <c r="D423" s="24"/>
      <c r="I423" s="31"/>
      <c r="J423" s="31"/>
      <c r="K423" s="31" t="str">
        <f t="shared" si="14"/>
        <v/>
      </c>
      <c r="M423" s="41" t="str">
        <f t="shared" si="15"/>
        <v/>
      </c>
      <c r="O423" s="13" t="s">
        <v>410</v>
      </c>
    </row>
    <row r="424" spans="3:15">
      <c r="C424" s="20">
        <v>418</v>
      </c>
      <c r="D424" s="24"/>
      <c r="I424" s="31"/>
      <c r="J424" s="31"/>
      <c r="K424" s="31" t="str">
        <f t="shared" si="14"/>
        <v/>
      </c>
      <c r="M424" s="41" t="str">
        <f t="shared" si="15"/>
        <v/>
      </c>
      <c r="O424" s="13" t="s">
        <v>410</v>
      </c>
    </row>
    <row r="425" spans="3:15">
      <c r="C425" s="20">
        <v>419</v>
      </c>
      <c r="D425" s="24"/>
      <c r="I425" s="31"/>
      <c r="J425" s="31"/>
      <c r="K425" s="31" t="str">
        <f t="shared" si="14"/>
        <v/>
      </c>
      <c r="M425" s="41" t="str">
        <f t="shared" si="15"/>
        <v/>
      </c>
      <c r="O425" s="13" t="s">
        <v>410</v>
      </c>
    </row>
    <row r="426" spans="3:15">
      <c r="C426" s="20">
        <v>420</v>
      </c>
      <c r="D426" s="24"/>
      <c r="I426" s="31"/>
      <c r="J426" s="31"/>
      <c r="K426" s="31" t="str">
        <f t="shared" si="14"/>
        <v/>
      </c>
      <c r="M426" s="41" t="str">
        <f t="shared" si="15"/>
        <v/>
      </c>
      <c r="O426" s="13" t="s">
        <v>410</v>
      </c>
    </row>
    <row r="427" spans="3:15">
      <c r="C427" s="20">
        <v>421</v>
      </c>
      <c r="D427" s="24"/>
      <c r="I427" s="31"/>
      <c r="J427" s="31"/>
      <c r="K427" s="31" t="str">
        <f t="shared" si="14"/>
        <v/>
      </c>
      <c r="M427" s="41" t="str">
        <f t="shared" si="15"/>
        <v/>
      </c>
      <c r="O427" s="13" t="s">
        <v>410</v>
      </c>
    </row>
    <row r="428" spans="3:15">
      <c r="C428" s="20">
        <v>422</v>
      </c>
      <c r="D428" s="24"/>
      <c r="I428" s="31"/>
      <c r="J428" s="31"/>
      <c r="K428" s="31" t="str">
        <f t="shared" si="14"/>
        <v/>
      </c>
      <c r="M428" s="41" t="str">
        <f t="shared" si="15"/>
        <v/>
      </c>
      <c r="O428" s="13" t="s">
        <v>410</v>
      </c>
    </row>
    <row r="429" spans="3:15">
      <c r="C429" s="20">
        <v>423</v>
      </c>
      <c r="D429" s="24"/>
      <c r="I429" s="31"/>
      <c r="J429" s="31"/>
      <c r="K429" s="31" t="str">
        <f t="shared" si="14"/>
        <v/>
      </c>
      <c r="M429" s="41" t="str">
        <f t="shared" si="15"/>
        <v/>
      </c>
      <c r="O429" s="13" t="s">
        <v>410</v>
      </c>
    </row>
    <row r="430" spans="3:15">
      <c r="C430" s="20">
        <v>424</v>
      </c>
      <c r="D430" s="24"/>
      <c r="I430" s="31"/>
      <c r="J430" s="31"/>
      <c r="K430" s="31" t="str">
        <f t="shared" si="14"/>
        <v/>
      </c>
      <c r="M430" s="41" t="str">
        <f t="shared" si="15"/>
        <v/>
      </c>
      <c r="O430" s="13" t="s">
        <v>410</v>
      </c>
    </row>
    <row r="431" spans="3:15">
      <c r="C431" s="20">
        <v>425</v>
      </c>
      <c r="D431" s="24"/>
      <c r="I431" s="31"/>
      <c r="J431" s="31"/>
      <c r="K431" s="31" t="str">
        <f t="shared" si="14"/>
        <v/>
      </c>
      <c r="M431" s="41" t="str">
        <f t="shared" si="15"/>
        <v/>
      </c>
      <c r="O431" s="13" t="s">
        <v>410</v>
      </c>
    </row>
    <row r="432" spans="3:15">
      <c r="C432" s="20">
        <v>426</v>
      </c>
      <c r="D432" s="24"/>
      <c r="I432" s="31"/>
      <c r="J432" s="31"/>
      <c r="K432" s="31" t="str">
        <f t="shared" si="14"/>
        <v/>
      </c>
      <c r="M432" s="41" t="str">
        <f t="shared" si="15"/>
        <v/>
      </c>
      <c r="O432" s="13" t="s">
        <v>410</v>
      </c>
    </row>
    <row r="433" spans="3:15">
      <c r="C433" s="20">
        <v>427</v>
      </c>
      <c r="D433" s="24"/>
      <c r="I433" s="31"/>
      <c r="J433" s="31"/>
      <c r="K433" s="31" t="str">
        <f t="shared" si="14"/>
        <v/>
      </c>
      <c r="M433" s="41" t="str">
        <f t="shared" si="15"/>
        <v/>
      </c>
      <c r="O433" s="13" t="s">
        <v>410</v>
      </c>
    </row>
    <row r="434" spans="3:15">
      <c r="C434" s="20">
        <v>428</v>
      </c>
      <c r="D434" s="24"/>
      <c r="I434" s="31"/>
      <c r="J434" s="31"/>
      <c r="K434" s="31" t="str">
        <f t="shared" si="14"/>
        <v/>
      </c>
      <c r="M434" s="41" t="str">
        <f t="shared" si="15"/>
        <v/>
      </c>
      <c r="O434" s="13" t="s">
        <v>410</v>
      </c>
    </row>
    <row r="435" spans="3:15">
      <c r="C435" s="20">
        <v>429</v>
      </c>
      <c r="D435" s="24"/>
      <c r="I435" s="31"/>
      <c r="J435" s="31"/>
      <c r="K435" s="31" t="str">
        <f t="shared" si="14"/>
        <v/>
      </c>
      <c r="M435" s="41" t="str">
        <f t="shared" si="15"/>
        <v/>
      </c>
      <c r="O435" s="13" t="s">
        <v>410</v>
      </c>
    </row>
    <row r="436" spans="3:15">
      <c r="C436" s="20">
        <v>430</v>
      </c>
      <c r="D436" s="24"/>
      <c r="I436" s="31"/>
      <c r="J436" s="31"/>
      <c r="K436" s="31" t="str">
        <f t="shared" si="14"/>
        <v/>
      </c>
      <c r="M436" s="41" t="str">
        <f t="shared" si="15"/>
        <v/>
      </c>
      <c r="O436" s="13" t="s">
        <v>410</v>
      </c>
    </row>
    <row r="437" spans="3:15">
      <c r="C437" s="20">
        <v>431</v>
      </c>
      <c r="D437" s="24"/>
      <c r="I437" s="31"/>
      <c r="J437" s="31"/>
      <c r="K437" s="31" t="str">
        <f t="shared" si="14"/>
        <v/>
      </c>
      <c r="M437" s="41" t="str">
        <f t="shared" si="15"/>
        <v/>
      </c>
      <c r="O437" s="13" t="s">
        <v>410</v>
      </c>
    </row>
    <row r="438" spans="3:15">
      <c r="C438" s="20">
        <v>432</v>
      </c>
      <c r="D438" s="24"/>
      <c r="I438" s="31"/>
      <c r="J438" s="31"/>
      <c r="K438" s="31" t="str">
        <f t="shared" si="14"/>
        <v/>
      </c>
      <c r="M438" s="41" t="str">
        <f t="shared" si="15"/>
        <v/>
      </c>
      <c r="O438" s="13" t="s">
        <v>410</v>
      </c>
    </row>
    <row r="439" spans="3:15">
      <c r="C439" s="20">
        <v>433</v>
      </c>
      <c r="D439" s="24"/>
      <c r="I439" s="31"/>
      <c r="J439" s="31"/>
      <c r="K439" s="31" t="str">
        <f t="shared" si="14"/>
        <v/>
      </c>
      <c r="M439" s="41" t="str">
        <f t="shared" si="15"/>
        <v/>
      </c>
      <c r="O439" s="13" t="s">
        <v>410</v>
      </c>
    </row>
    <row r="440" spans="3:15">
      <c r="C440" s="20">
        <v>434</v>
      </c>
      <c r="D440" s="24"/>
      <c r="I440" s="31"/>
      <c r="J440" s="31"/>
      <c r="K440" s="31" t="str">
        <f t="shared" si="14"/>
        <v/>
      </c>
      <c r="M440" s="41" t="str">
        <f t="shared" si="15"/>
        <v/>
      </c>
      <c r="O440" s="13" t="s">
        <v>410</v>
      </c>
    </row>
    <row r="441" spans="3:15">
      <c r="C441" s="20">
        <v>435</v>
      </c>
      <c r="D441" s="24"/>
      <c r="I441" s="31"/>
      <c r="J441" s="31"/>
      <c r="K441" s="31" t="str">
        <f t="shared" si="14"/>
        <v/>
      </c>
      <c r="M441" s="41" t="str">
        <f t="shared" si="15"/>
        <v/>
      </c>
      <c r="O441" s="13" t="s">
        <v>410</v>
      </c>
    </row>
    <row r="442" spans="3:15">
      <c r="C442" s="20">
        <v>436</v>
      </c>
      <c r="D442" s="24"/>
      <c r="I442" s="31"/>
      <c r="J442" s="31"/>
      <c r="K442" s="31" t="str">
        <f t="shared" si="14"/>
        <v/>
      </c>
      <c r="M442" s="41" t="str">
        <f t="shared" si="15"/>
        <v/>
      </c>
      <c r="O442" s="13" t="s">
        <v>410</v>
      </c>
    </row>
    <row r="443" spans="3:15">
      <c r="C443" s="20">
        <v>437</v>
      </c>
      <c r="D443" s="24"/>
      <c r="I443" s="31"/>
      <c r="J443" s="31"/>
      <c r="K443" s="31" t="str">
        <f t="shared" si="14"/>
        <v/>
      </c>
      <c r="M443" s="41" t="str">
        <f t="shared" si="15"/>
        <v/>
      </c>
      <c r="O443" s="13" t="s">
        <v>410</v>
      </c>
    </row>
    <row r="444" spans="3:15">
      <c r="C444" s="20">
        <v>438</v>
      </c>
      <c r="D444" s="24"/>
      <c r="I444" s="31"/>
      <c r="J444" s="31"/>
      <c r="K444" s="31" t="str">
        <f t="shared" si="14"/>
        <v/>
      </c>
      <c r="M444" s="41" t="str">
        <f t="shared" si="15"/>
        <v/>
      </c>
      <c r="O444" s="13" t="s">
        <v>410</v>
      </c>
    </row>
    <row r="445" spans="3:15">
      <c r="C445" s="20">
        <v>439</v>
      </c>
      <c r="D445" s="24"/>
      <c r="I445" s="31"/>
      <c r="J445" s="31"/>
      <c r="K445" s="31" t="str">
        <f t="shared" si="14"/>
        <v/>
      </c>
      <c r="M445" s="41" t="str">
        <f t="shared" si="15"/>
        <v/>
      </c>
      <c r="O445" s="13" t="s">
        <v>410</v>
      </c>
    </row>
    <row r="446" spans="3:15">
      <c r="C446" s="20">
        <v>440</v>
      </c>
      <c r="D446" s="24"/>
      <c r="I446" s="31"/>
      <c r="J446" s="31"/>
      <c r="K446" s="31" t="str">
        <f t="shared" si="14"/>
        <v/>
      </c>
      <c r="M446" s="41" t="str">
        <f t="shared" si="15"/>
        <v/>
      </c>
      <c r="O446" s="13" t="s">
        <v>410</v>
      </c>
    </row>
    <row r="447" spans="3:15">
      <c r="C447" s="20">
        <v>441</v>
      </c>
      <c r="D447" s="24"/>
      <c r="I447" s="31"/>
      <c r="J447" s="31"/>
      <c r="K447" s="31" t="str">
        <f t="shared" si="14"/>
        <v/>
      </c>
      <c r="M447" s="41" t="str">
        <f t="shared" si="15"/>
        <v/>
      </c>
      <c r="O447" s="13" t="s">
        <v>410</v>
      </c>
    </row>
    <row r="448" spans="3:15">
      <c r="C448" s="20">
        <v>442</v>
      </c>
      <c r="D448" s="24"/>
      <c r="I448" s="31"/>
      <c r="J448" s="31"/>
      <c r="K448" s="31" t="str">
        <f t="shared" si="14"/>
        <v/>
      </c>
      <c r="M448" s="41" t="str">
        <f t="shared" si="15"/>
        <v/>
      </c>
      <c r="O448" s="13" t="s">
        <v>410</v>
      </c>
    </row>
    <row r="449" spans="3:15">
      <c r="C449" s="20">
        <v>443</v>
      </c>
      <c r="D449" s="24"/>
      <c r="I449" s="31"/>
      <c r="J449" s="31"/>
      <c r="K449" s="31" t="str">
        <f t="shared" si="14"/>
        <v/>
      </c>
      <c r="M449" s="41" t="str">
        <f t="shared" si="15"/>
        <v/>
      </c>
      <c r="O449" s="13" t="s">
        <v>410</v>
      </c>
    </row>
    <row r="450" spans="3:15">
      <c r="C450" s="20">
        <v>444</v>
      </c>
      <c r="D450" s="24"/>
      <c r="I450" s="31"/>
      <c r="J450" s="31"/>
      <c r="K450" s="31" t="str">
        <f t="shared" si="14"/>
        <v/>
      </c>
      <c r="M450" s="41" t="str">
        <f t="shared" si="15"/>
        <v/>
      </c>
      <c r="O450" s="13" t="s">
        <v>410</v>
      </c>
    </row>
    <row r="451" spans="3:15">
      <c r="C451" s="20">
        <v>445</v>
      </c>
      <c r="D451" s="24"/>
      <c r="I451" s="31"/>
      <c r="J451" s="31"/>
      <c r="K451" s="31" t="str">
        <f t="shared" si="14"/>
        <v/>
      </c>
      <c r="M451" s="41" t="str">
        <f t="shared" si="15"/>
        <v/>
      </c>
      <c r="O451" s="13" t="s">
        <v>410</v>
      </c>
    </row>
    <row r="452" spans="3:15">
      <c r="C452" s="20">
        <v>446</v>
      </c>
      <c r="D452" s="24"/>
      <c r="I452" s="31"/>
      <c r="J452" s="31"/>
      <c r="K452" s="31" t="str">
        <f t="shared" si="14"/>
        <v/>
      </c>
      <c r="M452" s="41" t="str">
        <f t="shared" si="15"/>
        <v/>
      </c>
      <c r="O452" s="13" t="s">
        <v>410</v>
      </c>
    </row>
    <row r="453" spans="3:15">
      <c r="C453" s="20">
        <v>447</v>
      </c>
      <c r="D453" s="24"/>
      <c r="I453" s="31"/>
      <c r="J453" s="31"/>
      <c r="K453" s="31" t="str">
        <f t="shared" si="14"/>
        <v/>
      </c>
      <c r="M453" s="41" t="str">
        <f t="shared" si="15"/>
        <v/>
      </c>
      <c r="O453" s="13" t="s">
        <v>410</v>
      </c>
    </row>
    <row r="454" spans="3:15">
      <c r="C454" s="20">
        <v>448</v>
      </c>
      <c r="D454" s="24"/>
      <c r="I454" s="31"/>
      <c r="J454" s="31"/>
      <c r="K454" s="31" t="str">
        <f t="shared" si="14"/>
        <v/>
      </c>
      <c r="M454" s="41" t="str">
        <f t="shared" si="15"/>
        <v/>
      </c>
      <c r="O454" s="13" t="s">
        <v>410</v>
      </c>
    </row>
    <row r="455" spans="3:15">
      <c r="C455" s="20">
        <v>449</v>
      </c>
      <c r="D455" s="24"/>
      <c r="I455" s="31"/>
      <c r="J455" s="31"/>
      <c r="K455" s="31" t="str">
        <f t="shared" si="14"/>
        <v/>
      </c>
      <c r="M455" s="41" t="str">
        <f t="shared" si="15"/>
        <v/>
      </c>
      <c r="O455" s="13" t="s">
        <v>410</v>
      </c>
    </row>
    <row r="456" spans="3:15">
      <c r="C456" s="20">
        <v>450</v>
      </c>
      <c r="D456" s="24"/>
      <c r="I456" s="31"/>
      <c r="J456" s="31"/>
      <c r="K456" s="31" t="str">
        <f t="shared" ref="K456:K519" si="16">IF(K455="","",IF(K455=K455+J456-I456,"",K455+J456-I456))</f>
        <v/>
      </c>
      <c r="M456" s="41" t="str">
        <f t="shared" ref="M456:M519" si="17">IF(L456="SP-01","パン",IF(L456="SR-01","ご飯もの",IF(L456="SS-01","おかず",IF(L456="SD-01","飲料",IF(L456="ST-01","菓子類",IF(L456="SO-01","その他",IF(L456="MP-01","デスクトップパソコン",IF(L456="ML-01","ノートパソコン",IF(L456="MP-02","パソコンパーツ",IF(L456="MP-03","パソコン周辺機器",IF(L456="MS-01","スマートフォン本体",IF(L456="MT-01","タブレット本体",IF(L456="MM-01","携帯電話本体",IF(L456="MC-01","充電器",IF(L456="MC-02","カメラ",IF(L456="ME-01","家電",IF(L456="MA-01","オーディオ機器",IF(L456="MH-01","電気工具",IF(L456="MO-01","その他",IF(L456="DC-01","洋服",IF(L456="DS-01","靴",IF(L456="DW-01","時計",IF(L456="DA-01","アクセサリー",IF(L456="DO-01","その他",IF(L456="SD-01","食器",IF(L456="SF-01","家具",IF(L456="SB-01","寝具",IF(L456="SS-01","小物",IF(L456="SO-01","その他",IF(L456="OS-01","筆記具",IF(L456="ON-01","ノート",IF(L456="OR-01","ルーズリーフ",IF(L456="OM-01","工具",IF(L456="OO-01","その他",IF(L456="BN-01","小説",IF(L456="BN-02","新書",IF(L456="BM-01","雑誌",IF(L456="BC-01","漫画",IF(L456="BE-01","教育",IF(L456="BO-01","その他",IF(L456="CI-01","交通ICカード",IF(L456="CC-01","電子マネー",IF(L456="CC-02","クラウド課金",IF(L456="CG-01","ゲーム課金",IF(L456="CO-01","その他",IF(L456="IS-01","給与",IF(L456="IB-01","償却業務",IF(L456="IO-01","その他",IF(L456="AA-01","調整",IF(L456="AS-01","機密",IF(L456="AO-01","その他","")))))))))))))))))))))))))))))))))))))))))))))))))))</f>
        <v/>
      </c>
      <c r="O456" s="13" t="s">
        <v>410</v>
      </c>
    </row>
    <row r="457" spans="3:15">
      <c r="C457" s="20">
        <v>451</v>
      </c>
      <c r="D457" s="24"/>
      <c r="I457" s="31"/>
      <c r="J457" s="31"/>
      <c r="K457" s="31" t="str">
        <f t="shared" si="16"/>
        <v/>
      </c>
      <c r="M457" s="41" t="str">
        <f t="shared" si="17"/>
        <v/>
      </c>
      <c r="O457" s="13" t="s">
        <v>410</v>
      </c>
    </row>
    <row r="458" spans="3:15">
      <c r="C458" s="20">
        <v>452</v>
      </c>
      <c r="D458" s="24"/>
      <c r="I458" s="31"/>
      <c r="J458" s="31"/>
      <c r="K458" s="31" t="str">
        <f t="shared" si="16"/>
        <v/>
      </c>
      <c r="M458" s="41" t="str">
        <f t="shared" si="17"/>
        <v/>
      </c>
      <c r="O458" s="13" t="s">
        <v>410</v>
      </c>
    </row>
    <row r="459" spans="3:15">
      <c r="C459" s="20">
        <v>453</v>
      </c>
      <c r="D459" s="24"/>
      <c r="I459" s="31"/>
      <c r="J459" s="31"/>
      <c r="K459" s="31" t="str">
        <f t="shared" si="16"/>
        <v/>
      </c>
      <c r="M459" s="41" t="str">
        <f t="shared" si="17"/>
        <v/>
      </c>
      <c r="O459" s="13" t="s">
        <v>410</v>
      </c>
    </row>
    <row r="460" spans="3:15">
      <c r="C460" s="20">
        <v>454</v>
      </c>
      <c r="D460" s="24"/>
      <c r="I460" s="31"/>
      <c r="J460" s="31"/>
      <c r="K460" s="31" t="str">
        <f t="shared" si="16"/>
        <v/>
      </c>
      <c r="M460" s="41" t="str">
        <f t="shared" si="17"/>
        <v/>
      </c>
      <c r="O460" s="13" t="s">
        <v>410</v>
      </c>
    </row>
    <row r="461" spans="3:15">
      <c r="C461" s="20">
        <v>455</v>
      </c>
      <c r="D461" s="24"/>
      <c r="I461" s="31"/>
      <c r="J461" s="31"/>
      <c r="K461" s="31" t="str">
        <f t="shared" si="16"/>
        <v/>
      </c>
      <c r="M461" s="41" t="str">
        <f t="shared" si="17"/>
        <v/>
      </c>
      <c r="O461" s="13" t="s">
        <v>410</v>
      </c>
    </row>
    <row r="462" spans="3:15">
      <c r="C462" s="20">
        <v>456</v>
      </c>
      <c r="D462" s="24"/>
      <c r="I462" s="31"/>
      <c r="J462" s="31"/>
      <c r="K462" s="31" t="str">
        <f t="shared" si="16"/>
        <v/>
      </c>
      <c r="M462" s="41" t="str">
        <f t="shared" si="17"/>
        <v/>
      </c>
      <c r="O462" s="13" t="s">
        <v>410</v>
      </c>
    </row>
    <row r="463" spans="3:15">
      <c r="C463" s="20">
        <v>457</v>
      </c>
      <c r="D463" s="24"/>
      <c r="I463" s="31"/>
      <c r="J463" s="31"/>
      <c r="K463" s="31" t="str">
        <f t="shared" si="16"/>
        <v/>
      </c>
      <c r="M463" s="41" t="str">
        <f t="shared" si="17"/>
        <v/>
      </c>
      <c r="O463" s="13" t="s">
        <v>410</v>
      </c>
    </row>
    <row r="464" spans="3:15">
      <c r="C464" s="20">
        <v>458</v>
      </c>
      <c r="D464" s="24"/>
      <c r="I464" s="31"/>
      <c r="J464" s="31"/>
      <c r="K464" s="31" t="str">
        <f t="shared" si="16"/>
        <v/>
      </c>
      <c r="M464" s="41" t="str">
        <f t="shared" si="17"/>
        <v/>
      </c>
      <c r="O464" s="13" t="s">
        <v>410</v>
      </c>
    </row>
    <row r="465" spans="3:15">
      <c r="C465" s="20">
        <v>459</v>
      </c>
      <c r="D465" s="24"/>
      <c r="I465" s="31"/>
      <c r="J465" s="31"/>
      <c r="K465" s="31" t="str">
        <f t="shared" si="16"/>
        <v/>
      </c>
      <c r="M465" s="41" t="str">
        <f t="shared" si="17"/>
        <v/>
      </c>
      <c r="O465" s="13" t="s">
        <v>410</v>
      </c>
    </row>
    <row r="466" spans="3:15">
      <c r="C466" s="20">
        <v>460</v>
      </c>
      <c r="D466" s="24"/>
      <c r="I466" s="31"/>
      <c r="J466" s="31"/>
      <c r="K466" s="31" t="str">
        <f t="shared" si="16"/>
        <v/>
      </c>
      <c r="M466" s="41" t="str">
        <f t="shared" si="17"/>
        <v/>
      </c>
      <c r="O466" s="13" t="s">
        <v>410</v>
      </c>
    </row>
    <row r="467" spans="3:15">
      <c r="C467" s="20">
        <v>461</v>
      </c>
      <c r="D467" s="24"/>
      <c r="I467" s="31"/>
      <c r="J467" s="31"/>
      <c r="K467" s="31" t="str">
        <f t="shared" si="16"/>
        <v/>
      </c>
      <c r="M467" s="41" t="str">
        <f t="shared" si="17"/>
        <v/>
      </c>
      <c r="O467" s="13" t="s">
        <v>410</v>
      </c>
    </row>
    <row r="468" spans="3:15">
      <c r="C468" s="20">
        <v>462</v>
      </c>
      <c r="D468" s="24"/>
      <c r="I468" s="31"/>
      <c r="J468" s="31"/>
      <c r="K468" s="31" t="str">
        <f t="shared" si="16"/>
        <v/>
      </c>
      <c r="M468" s="41" t="str">
        <f t="shared" si="17"/>
        <v/>
      </c>
      <c r="O468" s="13" t="s">
        <v>410</v>
      </c>
    </row>
    <row r="469" spans="3:15">
      <c r="C469" s="20">
        <v>463</v>
      </c>
      <c r="D469" s="24"/>
      <c r="I469" s="31"/>
      <c r="J469" s="31"/>
      <c r="K469" s="31" t="str">
        <f t="shared" si="16"/>
        <v/>
      </c>
      <c r="M469" s="41" t="str">
        <f t="shared" si="17"/>
        <v/>
      </c>
      <c r="O469" s="13" t="s">
        <v>410</v>
      </c>
    </row>
    <row r="470" spans="3:15">
      <c r="C470" s="20">
        <v>464</v>
      </c>
      <c r="D470" s="24"/>
      <c r="I470" s="31"/>
      <c r="J470" s="31"/>
      <c r="K470" s="31" t="str">
        <f t="shared" si="16"/>
        <v/>
      </c>
      <c r="M470" s="41" t="str">
        <f t="shared" si="17"/>
        <v/>
      </c>
      <c r="O470" s="13" t="s">
        <v>410</v>
      </c>
    </row>
    <row r="471" spans="3:15">
      <c r="C471" s="20">
        <v>465</v>
      </c>
      <c r="D471" s="24"/>
      <c r="I471" s="31"/>
      <c r="J471" s="31"/>
      <c r="K471" s="31" t="str">
        <f t="shared" si="16"/>
        <v/>
      </c>
      <c r="M471" s="41" t="str">
        <f t="shared" si="17"/>
        <v/>
      </c>
      <c r="O471" s="13" t="s">
        <v>410</v>
      </c>
    </row>
    <row r="472" spans="3:15">
      <c r="C472" s="20">
        <v>466</v>
      </c>
      <c r="D472" s="24"/>
      <c r="I472" s="31"/>
      <c r="J472" s="31"/>
      <c r="K472" s="31" t="str">
        <f t="shared" si="16"/>
        <v/>
      </c>
      <c r="M472" s="41" t="str">
        <f t="shared" si="17"/>
        <v/>
      </c>
      <c r="O472" s="13" t="s">
        <v>410</v>
      </c>
    </row>
    <row r="473" spans="3:15">
      <c r="C473" s="20">
        <v>467</v>
      </c>
      <c r="D473" s="24"/>
      <c r="I473" s="31"/>
      <c r="J473" s="31"/>
      <c r="K473" s="31" t="str">
        <f t="shared" si="16"/>
        <v/>
      </c>
      <c r="M473" s="41" t="str">
        <f t="shared" si="17"/>
        <v/>
      </c>
      <c r="O473" s="13" t="s">
        <v>410</v>
      </c>
    </row>
    <row r="474" spans="3:15">
      <c r="C474" s="20">
        <v>468</v>
      </c>
      <c r="D474" s="24"/>
      <c r="I474" s="31"/>
      <c r="J474" s="31"/>
      <c r="K474" s="31" t="str">
        <f t="shared" si="16"/>
        <v/>
      </c>
      <c r="M474" s="41" t="str">
        <f t="shared" si="17"/>
        <v/>
      </c>
      <c r="O474" s="13" t="s">
        <v>410</v>
      </c>
    </row>
    <row r="475" spans="3:15">
      <c r="C475" s="20">
        <v>469</v>
      </c>
      <c r="D475" s="24"/>
      <c r="I475" s="31"/>
      <c r="J475" s="31"/>
      <c r="K475" s="31" t="str">
        <f t="shared" si="16"/>
        <v/>
      </c>
      <c r="M475" s="41" t="str">
        <f t="shared" si="17"/>
        <v/>
      </c>
      <c r="O475" s="13" t="s">
        <v>410</v>
      </c>
    </row>
    <row r="476" spans="3:15">
      <c r="C476" s="20">
        <v>470</v>
      </c>
      <c r="D476" s="24"/>
      <c r="I476" s="31"/>
      <c r="J476" s="31"/>
      <c r="K476" s="31" t="str">
        <f t="shared" si="16"/>
        <v/>
      </c>
      <c r="M476" s="41" t="str">
        <f t="shared" si="17"/>
        <v/>
      </c>
      <c r="O476" s="13" t="s">
        <v>410</v>
      </c>
    </row>
    <row r="477" spans="3:15">
      <c r="C477" s="20">
        <v>471</v>
      </c>
      <c r="D477" s="24"/>
      <c r="I477" s="31"/>
      <c r="J477" s="31"/>
      <c r="K477" s="31" t="str">
        <f t="shared" si="16"/>
        <v/>
      </c>
      <c r="M477" s="41" t="str">
        <f t="shared" si="17"/>
        <v/>
      </c>
      <c r="O477" s="13" t="s">
        <v>410</v>
      </c>
    </row>
    <row r="478" spans="3:15">
      <c r="C478" s="20">
        <v>472</v>
      </c>
      <c r="D478" s="24"/>
      <c r="I478" s="31"/>
      <c r="J478" s="31"/>
      <c r="K478" s="31" t="str">
        <f t="shared" si="16"/>
        <v/>
      </c>
      <c r="M478" s="41" t="str">
        <f t="shared" si="17"/>
        <v/>
      </c>
      <c r="O478" s="13" t="s">
        <v>410</v>
      </c>
    </row>
    <row r="479" spans="3:15">
      <c r="C479" s="20">
        <v>473</v>
      </c>
      <c r="D479" s="24"/>
      <c r="I479" s="31"/>
      <c r="J479" s="31"/>
      <c r="K479" s="31" t="str">
        <f t="shared" si="16"/>
        <v/>
      </c>
      <c r="M479" s="41" t="str">
        <f t="shared" si="17"/>
        <v/>
      </c>
      <c r="O479" s="13" t="s">
        <v>410</v>
      </c>
    </row>
    <row r="480" spans="3:15">
      <c r="C480" s="20">
        <v>474</v>
      </c>
      <c r="D480" s="24"/>
      <c r="I480" s="31"/>
      <c r="J480" s="31"/>
      <c r="K480" s="31" t="str">
        <f t="shared" si="16"/>
        <v/>
      </c>
      <c r="M480" s="41" t="str">
        <f t="shared" si="17"/>
        <v/>
      </c>
      <c r="O480" s="13" t="s">
        <v>410</v>
      </c>
    </row>
    <row r="481" spans="3:15">
      <c r="C481" s="20">
        <v>475</v>
      </c>
      <c r="D481" s="24"/>
      <c r="I481" s="31"/>
      <c r="J481" s="31"/>
      <c r="K481" s="31" t="str">
        <f t="shared" si="16"/>
        <v/>
      </c>
      <c r="M481" s="41" t="str">
        <f t="shared" si="17"/>
        <v/>
      </c>
      <c r="O481" s="13" t="s">
        <v>410</v>
      </c>
    </row>
    <row r="482" spans="3:15">
      <c r="C482" s="20">
        <v>476</v>
      </c>
      <c r="D482" s="24"/>
      <c r="I482" s="31"/>
      <c r="J482" s="31"/>
      <c r="K482" s="31" t="str">
        <f t="shared" si="16"/>
        <v/>
      </c>
      <c r="M482" s="41" t="str">
        <f t="shared" si="17"/>
        <v/>
      </c>
      <c r="O482" s="13" t="s">
        <v>410</v>
      </c>
    </row>
    <row r="483" spans="3:15">
      <c r="C483" s="20">
        <v>477</v>
      </c>
      <c r="D483" s="24"/>
      <c r="I483" s="31"/>
      <c r="J483" s="31"/>
      <c r="K483" s="31" t="str">
        <f t="shared" si="16"/>
        <v/>
      </c>
      <c r="M483" s="41" t="str">
        <f t="shared" si="17"/>
        <v/>
      </c>
      <c r="O483" s="13" t="s">
        <v>410</v>
      </c>
    </row>
    <row r="484" spans="3:15">
      <c r="C484" s="20">
        <v>478</v>
      </c>
      <c r="D484" s="24"/>
      <c r="I484" s="31"/>
      <c r="J484" s="31"/>
      <c r="K484" s="31" t="str">
        <f t="shared" si="16"/>
        <v/>
      </c>
      <c r="M484" s="41" t="str">
        <f t="shared" si="17"/>
        <v/>
      </c>
      <c r="O484" s="13" t="s">
        <v>410</v>
      </c>
    </row>
    <row r="485" spans="3:15">
      <c r="C485" s="20">
        <v>479</v>
      </c>
      <c r="D485" s="24"/>
      <c r="I485" s="31"/>
      <c r="J485" s="31"/>
      <c r="K485" s="31" t="str">
        <f t="shared" si="16"/>
        <v/>
      </c>
      <c r="M485" s="41" t="str">
        <f t="shared" si="17"/>
        <v/>
      </c>
      <c r="O485" s="13" t="s">
        <v>410</v>
      </c>
    </row>
    <row r="486" spans="3:15">
      <c r="C486" s="20">
        <v>480</v>
      </c>
      <c r="D486" s="24"/>
      <c r="I486" s="31"/>
      <c r="J486" s="31"/>
      <c r="K486" s="31" t="str">
        <f t="shared" si="16"/>
        <v/>
      </c>
      <c r="M486" s="41" t="str">
        <f t="shared" si="17"/>
        <v/>
      </c>
      <c r="O486" s="13" t="s">
        <v>410</v>
      </c>
    </row>
    <row r="487" spans="3:15">
      <c r="C487" s="20">
        <v>481</v>
      </c>
      <c r="D487" s="24"/>
      <c r="I487" s="31"/>
      <c r="J487" s="31"/>
      <c r="K487" s="31" t="str">
        <f t="shared" si="16"/>
        <v/>
      </c>
      <c r="M487" s="41" t="str">
        <f t="shared" si="17"/>
        <v/>
      </c>
      <c r="O487" s="13" t="s">
        <v>410</v>
      </c>
    </row>
    <row r="488" spans="3:15">
      <c r="C488" s="20">
        <v>482</v>
      </c>
      <c r="D488" s="24"/>
      <c r="I488" s="31"/>
      <c r="J488" s="31"/>
      <c r="K488" s="31" t="str">
        <f t="shared" si="16"/>
        <v/>
      </c>
      <c r="M488" s="41" t="str">
        <f t="shared" si="17"/>
        <v/>
      </c>
      <c r="O488" s="13" t="s">
        <v>410</v>
      </c>
    </row>
    <row r="489" spans="3:15">
      <c r="C489" s="20">
        <v>483</v>
      </c>
      <c r="D489" s="24"/>
      <c r="I489" s="31"/>
      <c r="J489" s="31"/>
      <c r="K489" s="31" t="str">
        <f t="shared" si="16"/>
        <v/>
      </c>
      <c r="M489" s="41" t="str">
        <f t="shared" si="17"/>
        <v/>
      </c>
      <c r="O489" s="13" t="s">
        <v>410</v>
      </c>
    </row>
    <row r="490" spans="3:15">
      <c r="C490" s="20">
        <v>484</v>
      </c>
      <c r="D490" s="24"/>
      <c r="I490" s="31"/>
      <c r="J490" s="31"/>
      <c r="K490" s="31" t="str">
        <f t="shared" si="16"/>
        <v/>
      </c>
      <c r="M490" s="41" t="str">
        <f t="shared" si="17"/>
        <v/>
      </c>
      <c r="O490" s="13" t="s">
        <v>410</v>
      </c>
    </row>
    <row r="491" spans="3:15">
      <c r="C491" s="20">
        <v>485</v>
      </c>
      <c r="D491" s="24"/>
      <c r="I491" s="31"/>
      <c r="J491" s="31"/>
      <c r="K491" s="31" t="str">
        <f t="shared" si="16"/>
        <v/>
      </c>
      <c r="M491" s="41" t="str">
        <f t="shared" si="17"/>
        <v/>
      </c>
      <c r="O491" s="13" t="s">
        <v>410</v>
      </c>
    </row>
    <row r="492" spans="3:15">
      <c r="C492" s="20">
        <v>486</v>
      </c>
      <c r="D492" s="24"/>
      <c r="I492" s="31"/>
      <c r="J492" s="31"/>
      <c r="K492" s="31" t="str">
        <f t="shared" si="16"/>
        <v/>
      </c>
      <c r="M492" s="41" t="str">
        <f t="shared" si="17"/>
        <v/>
      </c>
      <c r="O492" s="13" t="s">
        <v>410</v>
      </c>
    </row>
    <row r="493" spans="3:15">
      <c r="C493" s="20">
        <v>487</v>
      </c>
      <c r="D493" s="24"/>
      <c r="I493" s="31"/>
      <c r="J493" s="31"/>
      <c r="K493" s="31" t="str">
        <f t="shared" si="16"/>
        <v/>
      </c>
      <c r="M493" s="41" t="str">
        <f t="shared" si="17"/>
        <v/>
      </c>
      <c r="O493" s="13" t="s">
        <v>410</v>
      </c>
    </row>
    <row r="494" spans="3:15">
      <c r="C494" s="20">
        <v>488</v>
      </c>
      <c r="D494" s="24"/>
      <c r="I494" s="31"/>
      <c r="J494" s="31"/>
      <c r="K494" s="31" t="str">
        <f t="shared" si="16"/>
        <v/>
      </c>
      <c r="M494" s="41" t="str">
        <f t="shared" si="17"/>
        <v/>
      </c>
      <c r="O494" s="13" t="s">
        <v>410</v>
      </c>
    </row>
    <row r="495" spans="3:15">
      <c r="C495" s="20">
        <v>489</v>
      </c>
      <c r="D495" s="24"/>
      <c r="I495" s="31"/>
      <c r="J495" s="31"/>
      <c r="K495" s="31" t="str">
        <f t="shared" si="16"/>
        <v/>
      </c>
      <c r="M495" s="41" t="str">
        <f t="shared" si="17"/>
        <v/>
      </c>
      <c r="O495" s="13" t="s">
        <v>410</v>
      </c>
    </row>
    <row r="496" spans="3:15">
      <c r="C496" s="20">
        <v>490</v>
      </c>
      <c r="D496" s="24"/>
      <c r="I496" s="31"/>
      <c r="J496" s="31"/>
      <c r="K496" s="31" t="str">
        <f t="shared" si="16"/>
        <v/>
      </c>
      <c r="M496" s="41" t="str">
        <f t="shared" si="17"/>
        <v/>
      </c>
      <c r="O496" s="13" t="s">
        <v>410</v>
      </c>
    </row>
    <row r="497" spans="3:15">
      <c r="C497" s="20">
        <v>491</v>
      </c>
      <c r="D497" s="24"/>
      <c r="I497" s="31"/>
      <c r="J497" s="31"/>
      <c r="K497" s="31" t="str">
        <f t="shared" si="16"/>
        <v/>
      </c>
      <c r="M497" s="41" t="str">
        <f t="shared" si="17"/>
        <v/>
      </c>
      <c r="O497" s="13" t="s">
        <v>410</v>
      </c>
    </row>
    <row r="498" spans="3:15">
      <c r="C498" s="20">
        <v>492</v>
      </c>
      <c r="D498" s="24"/>
      <c r="I498" s="31"/>
      <c r="J498" s="31"/>
      <c r="K498" s="31" t="str">
        <f t="shared" si="16"/>
        <v/>
      </c>
      <c r="M498" s="41" t="str">
        <f t="shared" si="17"/>
        <v/>
      </c>
      <c r="O498" s="13" t="s">
        <v>410</v>
      </c>
    </row>
    <row r="499" spans="3:15">
      <c r="C499" s="20">
        <v>493</v>
      </c>
      <c r="D499" s="24"/>
      <c r="I499" s="31"/>
      <c r="J499" s="31"/>
      <c r="K499" s="31" t="str">
        <f t="shared" si="16"/>
        <v/>
      </c>
      <c r="M499" s="41" t="str">
        <f t="shared" si="17"/>
        <v/>
      </c>
      <c r="O499" s="13" t="s">
        <v>410</v>
      </c>
    </row>
    <row r="500" spans="3:15">
      <c r="C500" s="20">
        <v>494</v>
      </c>
      <c r="D500" s="24"/>
      <c r="I500" s="31"/>
      <c r="J500" s="31"/>
      <c r="K500" s="31" t="str">
        <f t="shared" si="16"/>
        <v/>
      </c>
      <c r="M500" s="41" t="str">
        <f t="shared" si="17"/>
        <v/>
      </c>
      <c r="O500" s="13" t="s">
        <v>410</v>
      </c>
    </row>
    <row r="501" spans="3:15">
      <c r="C501" s="20">
        <v>495</v>
      </c>
      <c r="D501" s="24"/>
      <c r="I501" s="31"/>
      <c r="J501" s="31"/>
      <c r="K501" s="31" t="str">
        <f t="shared" si="16"/>
        <v/>
      </c>
      <c r="M501" s="41" t="str">
        <f t="shared" si="17"/>
        <v/>
      </c>
      <c r="O501" s="13" t="s">
        <v>410</v>
      </c>
    </row>
    <row r="502" spans="3:15">
      <c r="C502" s="20">
        <v>496</v>
      </c>
      <c r="D502" s="24"/>
      <c r="I502" s="31"/>
      <c r="J502" s="31"/>
      <c r="K502" s="31" t="str">
        <f t="shared" si="16"/>
        <v/>
      </c>
      <c r="M502" s="41" t="str">
        <f t="shared" si="17"/>
        <v/>
      </c>
      <c r="O502" s="13" t="s">
        <v>410</v>
      </c>
    </row>
    <row r="503" spans="3:15">
      <c r="C503" s="20">
        <v>497</v>
      </c>
      <c r="D503" s="24"/>
      <c r="I503" s="31"/>
      <c r="J503" s="31"/>
      <c r="K503" s="31" t="str">
        <f t="shared" si="16"/>
        <v/>
      </c>
      <c r="M503" s="41" t="str">
        <f t="shared" si="17"/>
        <v/>
      </c>
      <c r="O503" s="13" t="s">
        <v>410</v>
      </c>
    </row>
    <row r="504" spans="3:15">
      <c r="C504" s="20">
        <v>498</v>
      </c>
      <c r="D504" s="24"/>
      <c r="I504" s="31"/>
      <c r="J504" s="31"/>
      <c r="K504" s="31" t="str">
        <f t="shared" si="16"/>
        <v/>
      </c>
      <c r="M504" s="41" t="str">
        <f t="shared" si="17"/>
        <v/>
      </c>
      <c r="O504" s="13" t="s">
        <v>410</v>
      </c>
    </row>
    <row r="505" spans="3:15">
      <c r="C505" s="20">
        <v>499</v>
      </c>
      <c r="D505" s="24"/>
      <c r="I505" s="31"/>
      <c r="J505" s="31"/>
      <c r="K505" s="31" t="str">
        <f t="shared" si="16"/>
        <v/>
      </c>
      <c r="M505" s="41" t="str">
        <f t="shared" si="17"/>
        <v/>
      </c>
      <c r="O505" s="13" t="s">
        <v>410</v>
      </c>
    </row>
    <row r="506" spans="3:15">
      <c r="C506" s="20">
        <v>500</v>
      </c>
      <c r="D506" s="24"/>
      <c r="I506" s="31"/>
      <c r="J506" s="31"/>
      <c r="K506" s="31" t="str">
        <f t="shared" si="16"/>
        <v/>
      </c>
      <c r="M506" s="41" t="str">
        <f t="shared" si="17"/>
        <v/>
      </c>
      <c r="O506" s="13" t="s">
        <v>410</v>
      </c>
    </row>
    <row r="507" spans="3:15">
      <c r="C507" s="20">
        <v>501</v>
      </c>
      <c r="D507" s="24"/>
      <c r="I507" s="31"/>
      <c r="J507" s="31"/>
      <c r="K507" s="31" t="str">
        <f t="shared" si="16"/>
        <v/>
      </c>
      <c r="M507" s="41" t="str">
        <f t="shared" si="17"/>
        <v/>
      </c>
      <c r="O507" s="13" t="s">
        <v>410</v>
      </c>
    </row>
    <row r="508" spans="3:15">
      <c r="C508" s="20">
        <v>502</v>
      </c>
      <c r="D508" s="24"/>
      <c r="I508" s="31"/>
      <c r="J508" s="31"/>
      <c r="K508" s="31" t="str">
        <f t="shared" si="16"/>
        <v/>
      </c>
      <c r="M508" s="41" t="str">
        <f t="shared" si="17"/>
        <v/>
      </c>
      <c r="O508" s="13" t="s">
        <v>410</v>
      </c>
    </row>
    <row r="509" spans="3:15">
      <c r="C509" s="20">
        <v>503</v>
      </c>
      <c r="D509" s="24"/>
      <c r="I509" s="31"/>
      <c r="J509" s="31"/>
      <c r="K509" s="31" t="str">
        <f t="shared" si="16"/>
        <v/>
      </c>
      <c r="M509" s="41" t="str">
        <f t="shared" si="17"/>
        <v/>
      </c>
      <c r="O509" s="13" t="s">
        <v>410</v>
      </c>
    </row>
    <row r="510" spans="3:15">
      <c r="C510" s="20">
        <v>504</v>
      </c>
      <c r="D510" s="24"/>
      <c r="I510" s="31"/>
      <c r="J510" s="31"/>
      <c r="K510" s="31" t="str">
        <f t="shared" si="16"/>
        <v/>
      </c>
      <c r="M510" s="41" t="str">
        <f t="shared" si="17"/>
        <v/>
      </c>
      <c r="O510" s="13" t="s">
        <v>410</v>
      </c>
    </row>
    <row r="511" spans="3:15">
      <c r="C511" s="20">
        <v>505</v>
      </c>
      <c r="D511" s="24"/>
      <c r="I511" s="31"/>
      <c r="J511" s="31"/>
      <c r="K511" s="31" t="str">
        <f t="shared" si="16"/>
        <v/>
      </c>
      <c r="M511" s="41" t="str">
        <f t="shared" si="17"/>
        <v/>
      </c>
      <c r="O511" s="13" t="s">
        <v>410</v>
      </c>
    </row>
    <row r="512" spans="3:15">
      <c r="C512" s="20">
        <v>506</v>
      </c>
      <c r="D512" s="24"/>
      <c r="I512" s="31"/>
      <c r="J512" s="31"/>
      <c r="K512" s="31" t="str">
        <f t="shared" si="16"/>
        <v/>
      </c>
      <c r="M512" s="41" t="str">
        <f t="shared" si="17"/>
        <v/>
      </c>
      <c r="O512" s="13" t="s">
        <v>410</v>
      </c>
    </row>
    <row r="513" spans="3:15">
      <c r="C513" s="20">
        <v>507</v>
      </c>
      <c r="D513" s="24"/>
      <c r="I513" s="31"/>
      <c r="J513" s="31"/>
      <c r="K513" s="31" t="str">
        <f t="shared" si="16"/>
        <v/>
      </c>
      <c r="M513" s="41" t="str">
        <f t="shared" si="17"/>
        <v/>
      </c>
      <c r="O513" s="13" t="s">
        <v>410</v>
      </c>
    </row>
    <row r="514" spans="3:15">
      <c r="C514" s="20">
        <v>508</v>
      </c>
      <c r="D514" s="24"/>
      <c r="I514" s="31"/>
      <c r="J514" s="31"/>
      <c r="K514" s="31" t="str">
        <f t="shared" si="16"/>
        <v/>
      </c>
      <c r="M514" s="41" t="str">
        <f t="shared" si="17"/>
        <v/>
      </c>
      <c r="O514" s="13" t="s">
        <v>410</v>
      </c>
    </row>
    <row r="515" spans="3:15">
      <c r="C515" s="20">
        <v>509</v>
      </c>
      <c r="D515" s="24"/>
      <c r="I515" s="31"/>
      <c r="J515" s="31"/>
      <c r="K515" s="31" t="str">
        <f t="shared" si="16"/>
        <v/>
      </c>
      <c r="M515" s="41" t="str">
        <f t="shared" si="17"/>
        <v/>
      </c>
      <c r="O515" s="13" t="s">
        <v>410</v>
      </c>
    </row>
    <row r="516" spans="3:15">
      <c r="C516" s="20">
        <v>510</v>
      </c>
      <c r="D516" s="24"/>
      <c r="I516" s="31"/>
      <c r="J516" s="31"/>
      <c r="K516" s="31" t="str">
        <f t="shared" si="16"/>
        <v/>
      </c>
      <c r="M516" s="41" t="str">
        <f t="shared" si="17"/>
        <v/>
      </c>
      <c r="O516" s="13" t="s">
        <v>410</v>
      </c>
    </row>
    <row r="517" spans="3:15">
      <c r="C517" s="20">
        <v>511</v>
      </c>
      <c r="D517" s="24"/>
      <c r="I517" s="31"/>
      <c r="J517" s="31"/>
      <c r="K517" s="31" t="str">
        <f t="shared" si="16"/>
        <v/>
      </c>
      <c r="M517" s="41" t="str">
        <f t="shared" si="17"/>
        <v/>
      </c>
      <c r="O517" s="13" t="s">
        <v>410</v>
      </c>
    </row>
    <row r="518" spans="3:15">
      <c r="C518" s="20">
        <v>512</v>
      </c>
      <c r="D518" s="24"/>
      <c r="I518" s="31"/>
      <c r="J518" s="31"/>
      <c r="K518" s="31" t="str">
        <f t="shared" si="16"/>
        <v/>
      </c>
      <c r="M518" s="41" t="str">
        <f t="shared" si="17"/>
        <v/>
      </c>
      <c r="O518" s="13" t="s">
        <v>410</v>
      </c>
    </row>
    <row r="519" spans="3:15">
      <c r="C519" s="20">
        <v>513</v>
      </c>
      <c r="D519" s="24"/>
      <c r="I519" s="31"/>
      <c r="J519" s="31"/>
      <c r="K519" s="31" t="str">
        <f t="shared" si="16"/>
        <v/>
      </c>
      <c r="M519" s="41" t="str">
        <f t="shared" si="17"/>
        <v/>
      </c>
      <c r="O519" s="13" t="s">
        <v>410</v>
      </c>
    </row>
    <row r="520" spans="3:15">
      <c r="C520" s="20">
        <v>514</v>
      </c>
      <c r="D520" s="24"/>
      <c r="I520" s="31"/>
      <c r="J520" s="31"/>
      <c r="K520" s="31" t="str">
        <f t="shared" ref="K520:K583" si="18">IF(K519="","",IF(K519=K519+J520-I520,"",K519+J520-I520))</f>
        <v/>
      </c>
      <c r="M520" s="41" t="str">
        <f t="shared" ref="M520:M583" si="19">IF(L520="SP-01","パン",IF(L520="SR-01","ご飯もの",IF(L520="SS-01","おかず",IF(L520="SD-01","飲料",IF(L520="ST-01","菓子類",IF(L520="SO-01","その他",IF(L520="MP-01","デスクトップパソコン",IF(L520="ML-01","ノートパソコン",IF(L520="MP-02","パソコンパーツ",IF(L520="MP-03","パソコン周辺機器",IF(L520="MS-01","スマートフォン本体",IF(L520="MT-01","タブレット本体",IF(L520="MM-01","携帯電話本体",IF(L520="MC-01","充電器",IF(L520="MC-02","カメラ",IF(L520="ME-01","家電",IF(L520="MA-01","オーディオ機器",IF(L520="MH-01","電気工具",IF(L520="MO-01","その他",IF(L520="DC-01","洋服",IF(L520="DS-01","靴",IF(L520="DW-01","時計",IF(L520="DA-01","アクセサリー",IF(L520="DO-01","その他",IF(L520="SD-01","食器",IF(L520="SF-01","家具",IF(L520="SB-01","寝具",IF(L520="SS-01","小物",IF(L520="SO-01","その他",IF(L520="OS-01","筆記具",IF(L520="ON-01","ノート",IF(L520="OR-01","ルーズリーフ",IF(L520="OM-01","工具",IF(L520="OO-01","その他",IF(L520="BN-01","小説",IF(L520="BN-02","新書",IF(L520="BM-01","雑誌",IF(L520="BC-01","漫画",IF(L520="BE-01","教育",IF(L520="BO-01","その他",IF(L520="CI-01","交通ICカード",IF(L520="CC-01","電子マネー",IF(L520="CC-02","クラウド課金",IF(L520="CG-01","ゲーム課金",IF(L520="CO-01","その他",IF(L520="IS-01","給与",IF(L520="IB-01","償却業務",IF(L520="IO-01","その他",IF(L520="AA-01","調整",IF(L520="AS-01","機密",IF(L520="AO-01","その他","")))))))))))))))))))))))))))))))))))))))))))))))))))</f>
        <v/>
      </c>
      <c r="O520" s="13" t="s">
        <v>410</v>
      </c>
    </row>
    <row r="521" spans="3:15">
      <c r="C521" s="20">
        <v>515</v>
      </c>
      <c r="D521" s="24"/>
      <c r="I521" s="31"/>
      <c r="J521" s="31"/>
      <c r="K521" s="31" t="str">
        <f t="shared" si="18"/>
        <v/>
      </c>
      <c r="M521" s="41" t="str">
        <f t="shared" si="19"/>
        <v/>
      </c>
      <c r="O521" s="13" t="s">
        <v>410</v>
      </c>
    </row>
    <row r="522" spans="3:15">
      <c r="C522" s="20">
        <v>516</v>
      </c>
      <c r="D522" s="24"/>
      <c r="I522" s="31"/>
      <c r="J522" s="31"/>
      <c r="K522" s="31" t="str">
        <f t="shared" si="18"/>
        <v/>
      </c>
      <c r="M522" s="41" t="str">
        <f t="shared" si="19"/>
        <v/>
      </c>
      <c r="O522" s="13" t="s">
        <v>410</v>
      </c>
    </row>
    <row r="523" spans="3:15">
      <c r="C523" s="20">
        <v>517</v>
      </c>
      <c r="D523" s="24"/>
      <c r="I523" s="31"/>
      <c r="J523" s="31"/>
      <c r="K523" s="31" t="str">
        <f t="shared" si="18"/>
        <v/>
      </c>
      <c r="M523" s="41" t="str">
        <f t="shared" si="19"/>
        <v/>
      </c>
      <c r="O523" s="13" t="s">
        <v>410</v>
      </c>
    </row>
    <row r="524" spans="3:15">
      <c r="C524" s="20">
        <v>518</v>
      </c>
      <c r="D524" s="24"/>
      <c r="I524" s="31"/>
      <c r="J524" s="31"/>
      <c r="K524" s="31" t="str">
        <f t="shared" si="18"/>
        <v/>
      </c>
      <c r="M524" s="41" t="str">
        <f t="shared" si="19"/>
        <v/>
      </c>
      <c r="O524" s="13" t="s">
        <v>410</v>
      </c>
    </row>
    <row r="525" spans="3:15">
      <c r="C525" s="20">
        <v>519</v>
      </c>
      <c r="D525" s="24"/>
      <c r="I525" s="31"/>
      <c r="J525" s="31"/>
      <c r="K525" s="31" t="str">
        <f t="shared" si="18"/>
        <v/>
      </c>
      <c r="M525" s="41" t="str">
        <f t="shared" si="19"/>
        <v/>
      </c>
      <c r="O525" s="13" t="s">
        <v>410</v>
      </c>
    </row>
    <row r="526" spans="3:15">
      <c r="C526" s="20">
        <v>520</v>
      </c>
      <c r="D526" s="24"/>
      <c r="I526" s="31"/>
      <c r="J526" s="31"/>
      <c r="K526" s="31" t="str">
        <f t="shared" si="18"/>
        <v/>
      </c>
      <c r="M526" s="41" t="str">
        <f t="shared" si="19"/>
        <v/>
      </c>
      <c r="O526" s="13" t="s">
        <v>410</v>
      </c>
    </row>
    <row r="527" spans="3:15">
      <c r="C527" s="20">
        <v>521</v>
      </c>
      <c r="D527" s="24"/>
      <c r="I527" s="31"/>
      <c r="J527" s="31"/>
      <c r="K527" s="31" t="str">
        <f t="shared" si="18"/>
        <v/>
      </c>
      <c r="M527" s="41" t="str">
        <f t="shared" si="19"/>
        <v/>
      </c>
      <c r="O527" s="13" t="s">
        <v>410</v>
      </c>
    </row>
    <row r="528" spans="3:15">
      <c r="C528" s="20">
        <v>522</v>
      </c>
      <c r="D528" s="24"/>
      <c r="I528" s="31"/>
      <c r="J528" s="31"/>
      <c r="K528" s="31" t="str">
        <f t="shared" si="18"/>
        <v/>
      </c>
      <c r="M528" s="41" t="str">
        <f t="shared" si="19"/>
        <v/>
      </c>
      <c r="O528" s="13" t="s">
        <v>410</v>
      </c>
    </row>
    <row r="529" spans="3:15">
      <c r="C529" s="20">
        <v>523</v>
      </c>
      <c r="D529" s="24"/>
      <c r="I529" s="31"/>
      <c r="J529" s="31"/>
      <c r="K529" s="31" t="str">
        <f t="shared" si="18"/>
        <v/>
      </c>
      <c r="M529" s="41" t="str">
        <f t="shared" si="19"/>
        <v/>
      </c>
      <c r="O529" s="13" t="s">
        <v>410</v>
      </c>
    </row>
    <row r="530" spans="3:15">
      <c r="C530" s="20">
        <v>524</v>
      </c>
      <c r="D530" s="24"/>
      <c r="I530" s="31"/>
      <c r="J530" s="31"/>
      <c r="K530" s="31" t="str">
        <f t="shared" si="18"/>
        <v/>
      </c>
      <c r="M530" s="41" t="str">
        <f t="shared" si="19"/>
        <v/>
      </c>
      <c r="O530" s="13" t="s">
        <v>410</v>
      </c>
    </row>
    <row r="531" spans="3:15">
      <c r="C531" s="20">
        <v>525</v>
      </c>
      <c r="D531" s="24"/>
      <c r="I531" s="31"/>
      <c r="J531" s="31"/>
      <c r="K531" s="31" t="str">
        <f t="shared" si="18"/>
        <v/>
      </c>
      <c r="M531" s="41" t="str">
        <f t="shared" si="19"/>
        <v/>
      </c>
      <c r="O531" s="13" t="s">
        <v>410</v>
      </c>
    </row>
    <row r="532" spans="3:15">
      <c r="C532" s="20">
        <v>526</v>
      </c>
      <c r="D532" s="24"/>
      <c r="I532" s="31"/>
      <c r="J532" s="31"/>
      <c r="K532" s="31" t="str">
        <f t="shared" si="18"/>
        <v/>
      </c>
      <c r="M532" s="41" t="str">
        <f t="shared" si="19"/>
        <v/>
      </c>
      <c r="O532" s="13" t="s">
        <v>410</v>
      </c>
    </row>
    <row r="533" spans="3:15">
      <c r="C533" s="20">
        <v>527</v>
      </c>
      <c r="D533" s="24"/>
      <c r="I533" s="31"/>
      <c r="J533" s="31"/>
      <c r="K533" s="31" t="str">
        <f t="shared" si="18"/>
        <v/>
      </c>
      <c r="M533" s="41" t="str">
        <f t="shared" si="19"/>
        <v/>
      </c>
      <c r="O533" s="13" t="s">
        <v>410</v>
      </c>
    </row>
    <row r="534" spans="3:15">
      <c r="C534" s="20">
        <v>528</v>
      </c>
      <c r="D534" s="24"/>
      <c r="I534" s="31"/>
      <c r="J534" s="31"/>
      <c r="K534" s="31" t="str">
        <f t="shared" si="18"/>
        <v/>
      </c>
      <c r="M534" s="41" t="str">
        <f t="shared" si="19"/>
        <v/>
      </c>
      <c r="O534" s="13" t="s">
        <v>410</v>
      </c>
    </row>
    <row r="535" spans="3:15">
      <c r="C535" s="20">
        <v>529</v>
      </c>
      <c r="D535" s="24"/>
      <c r="I535" s="31"/>
      <c r="J535" s="31"/>
      <c r="K535" s="31" t="str">
        <f t="shared" si="18"/>
        <v/>
      </c>
      <c r="M535" s="41" t="str">
        <f t="shared" si="19"/>
        <v/>
      </c>
      <c r="O535" s="13" t="s">
        <v>410</v>
      </c>
    </row>
    <row r="536" spans="3:15">
      <c r="C536" s="20">
        <v>530</v>
      </c>
      <c r="D536" s="24"/>
      <c r="I536" s="31"/>
      <c r="J536" s="31"/>
      <c r="K536" s="31" t="str">
        <f t="shared" si="18"/>
        <v/>
      </c>
      <c r="M536" s="41" t="str">
        <f t="shared" si="19"/>
        <v/>
      </c>
      <c r="O536" s="13" t="s">
        <v>410</v>
      </c>
    </row>
    <row r="537" spans="3:15">
      <c r="C537" s="20">
        <v>531</v>
      </c>
      <c r="D537" s="24"/>
      <c r="I537" s="31"/>
      <c r="J537" s="31"/>
      <c r="K537" s="31" t="str">
        <f t="shared" si="18"/>
        <v/>
      </c>
      <c r="M537" s="41" t="str">
        <f t="shared" si="19"/>
        <v/>
      </c>
      <c r="O537" s="13" t="s">
        <v>410</v>
      </c>
    </row>
    <row r="538" spans="3:15">
      <c r="C538" s="20">
        <v>532</v>
      </c>
      <c r="D538" s="24"/>
      <c r="I538" s="31"/>
      <c r="J538" s="31"/>
      <c r="K538" s="31" t="str">
        <f t="shared" si="18"/>
        <v/>
      </c>
      <c r="M538" s="41" t="str">
        <f t="shared" si="19"/>
        <v/>
      </c>
      <c r="O538" s="13" t="s">
        <v>410</v>
      </c>
    </row>
    <row r="539" spans="3:15">
      <c r="C539" s="20">
        <v>533</v>
      </c>
      <c r="D539" s="24"/>
      <c r="I539" s="31"/>
      <c r="J539" s="31"/>
      <c r="K539" s="31" t="str">
        <f t="shared" si="18"/>
        <v/>
      </c>
      <c r="M539" s="41" t="str">
        <f t="shared" si="19"/>
        <v/>
      </c>
      <c r="O539" s="13" t="s">
        <v>410</v>
      </c>
    </row>
    <row r="540" spans="3:15">
      <c r="C540" s="20">
        <v>534</v>
      </c>
      <c r="D540" s="24"/>
      <c r="I540" s="31"/>
      <c r="J540" s="31"/>
      <c r="K540" s="31" t="str">
        <f t="shared" si="18"/>
        <v/>
      </c>
      <c r="M540" s="41" t="str">
        <f t="shared" si="19"/>
        <v/>
      </c>
      <c r="O540" s="13" t="s">
        <v>410</v>
      </c>
    </row>
    <row r="541" spans="3:15">
      <c r="C541" s="20">
        <v>535</v>
      </c>
      <c r="D541" s="24"/>
      <c r="I541" s="31"/>
      <c r="J541" s="31"/>
      <c r="K541" s="31" t="str">
        <f t="shared" si="18"/>
        <v/>
      </c>
      <c r="M541" s="41" t="str">
        <f t="shared" si="19"/>
        <v/>
      </c>
      <c r="O541" s="13" t="s">
        <v>410</v>
      </c>
    </row>
    <row r="542" spans="3:15">
      <c r="C542" s="20">
        <v>536</v>
      </c>
      <c r="D542" s="24"/>
      <c r="I542" s="31"/>
      <c r="J542" s="31"/>
      <c r="K542" s="31" t="str">
        <f t="shared" si="18"/>
        <v/>
      </c>
      <c r="M542" s="41" t="str">
        <f t="shared" si="19"/>
        <v/>
      </c>
      <c r="O542" s="13" t="s">
        <v>410</v>
      </c>
    </row>
    <row r="543" spans="3:15">
      <c r="C543" s="20">
        <v>537</v>
      </c>
      <c r="D543" s="24"/>
      <c r="I543" s="31"/>
      <c r="J543" s="31"/>
      <c r="K543" s="31" t="str">
        <f t="shared" si="18"/>
        <v/>
      </c>
      <c r="M543" s="41" t="str">
        <f t="shared" si="19"/>
        <v/>
      </c>
      <c r="O543" s="13" t="s">
        <v>410</v>
      </c>
    </row>
    <row r="544" spans="3:15">
      <c r="C544" s="20">
        <v>538</v>
      </c>
      <c r="D544" s="24"/>
      <c r="I544" s="31"/>
      <c r="J544" s="31"/>
      <c r="K544" s="31" t="str">
        <f t="shared" si="18"/>
        <v/>
      </c>
      <c r="M544" s="41" t="str">
        <f t="shared" si="19"/>
        <v/>
      </c>
      <c r="O544" s="13" t="s">
        <v>410</v>
      </c>
    </row>
    <row r="545" spans="3:15">
      <c r="C545" s="20">
        <v>539</v>
      </c>
      <c r="D545" s="24"/>
      <c r="I545" s="31"/>
      <c r="J545" s="31"/>
      <c r="K545" s="31" t="str">
        <f t="shared" si="18"/>
        <v/>
      </c>
      <c r="M545" s="41" t="str">
        <f t="shared" si="19"/>
        <v/>
      </c>
      <c r="O545" s="13" t="s">
        <v>410</v>
      </c>
    </row>
    <row r="546" spans="3:15">
      <c r="C546" s="20">
        <v>540</v>
      </c>
      <c r="D546" s="24"/>
      <c r="I546" s="31"/>
      <c r="J546" s="31"/>
      <c r="K546" s="31" t="str">
        <f t="shared" si="18"/>
        <v/>
      </c>
      <c r="M546" s="41" t="str">
        <f t="shared" si="19"/>
        <v/>
      </c>
      <c r="O546" s="13" t="s">
        <v>410</v>
      </c>
    </row>
    <row r="547" spans="3:15">
      <c r="C547" s="20">
        <v>541</v>
      </c>
      <c r="D547" s="24"/>
      <c r="I547" s="31"/>
      <c r="J547" s="31"/>
      <c r="K547" s="31" t="str">
        <f t="shared" si="18"/>
        <v/>
      </c>
      <c r="M547" s="41" t="str">
        <f t="shared" si="19"/>
        <v/>
      </c>
      <c r="O547" s="13" t="s">
        <v>410</v>
      </c>
    </row>
    <row r="548" spans="3:15">
      <c r="C548" s="20">
        <v>542</v>
      </c>
      <c r="D548" s="24"/>
      <c r="I548" s="31"/>
      <c r="J548" s="31"/>
      <c r="K548" s="31" t="str">
        <f t="shared" si="18"/>
        <v/>
      </c>
      <c r="M548" s="41" t="str">
        <f t="shared" si="19"/>
        <v/>
      </c>
      <c r="O548" s="13" t="s">
        <v>410</v>
      </c>
    </row>
    <row r="549" spans="3:15">
      <c r="C549" s="20">
        <v>543</v>
      </c>
      <c r="D549" s="24"/>
      <c r="I549" s="31"/>
      <c r="J549" s="31"/>
      <c r="K549" s="31" t="str">
        <f t="shared" si="18"/>
        <v/>
      </c>
      <c r="M549" s="41" t="str">
        <f t="shared" si="19"/>
        <v/>
      </c>
      <c r="O549" s="13" t="s">
        <v>410</v>
      </c>
    </row>
    <row r="550" spans="3:15">
      <c r="C550" s="20">
        <v>544</v>
      </c>
      <c r="D550" s="24"/>
      <c r="I550" s="31"/>
      <c r="J550" s="31"/>
      <c r="K550" s="31" t="str">
        <f t="shared" si="18"/>
        <v/>
      </c>
      <c r="M550" s="41" t="str">
        <f t="shared" si="19"/>
        <v/>
      </c>
      <c r="O550" s="13" t="s">
        <v>410</v>
      </c>
    </row>
    <row r="551" spans="3:15">
      <c r="C551" s="20">
        <v>545</v>
      </c>
      <c r="D551" s="24"/>
      <c r="I551" s="31"/>
      <c r="J551" s="31"/>
      <c r="K551" s="31" t="str">
        <f t="shared" si="18"/>
        <v/>
      </c>
      <c r="M551" s="41" t="str">
        <f t="shared" si="19"/>
        <v/>
      </c>
      <c r="O551" s="13" t="s">
        <v>410</v>
      </c>
    </row>
    <row r="552" spans="3:15">
      <c r="C552" s="20">
        <v>546</v>
      </c>
      <c r="D552" s="24"/>
      <c r="I552" s="31"/>
      <c r="J552" s="31"/>
      <c r="K552" s="31" t="str">
        <f t="shared" si="18"/>
        <v/>
      </c>
      <c r="M552" s="41" t="str">
        <f t="shared" si="19"/>
        <v/>
      </c>
      <c r="O552" s="13" t="s">
        <v>410</v>
      </c>
    </row>
    <row r="553" spans="3:15">
      <c r="C553" s="20">
        <v>547</v>
      </c>
      <c r="D553" s="24"/>
      <c r="I553" s="31"/>
      <c r="J553" s="31"/>
      <c r="K553" s="31" t="str">
        <f t="shared" si="18"/>
        <v/>
      </c>
      <c r="M553" s="41" t="str">
        <f t="shared" si="19"/>
        <v/>
      </c>
      <c r="O553" s="13" t="s">
        <v>410</v>
      </c>
    </row>
    <row r="554" spans="3:15">
      <c r="C554" s="20">
        <v>548</v>
      </c>
      <c r="D554" s="24"/>
      <c r="I554" s="31"/>
      <c r="J554" s="31"/>
      <c r="K554" s="31" t="str">
        <f t="shared" si="18"/>
        <v/>
      </c>
      <c r="M554" s="41" t="str">
        <f t="shared" si="19"/>
        <v/>
      </c>
      <c r="O554" s="13" t="s">
        <v>410</v>
      </c>
    </row>
    <row r="555" spans="3:15">
      <c r="C555" s="20">
        <v>549</v>
      </c>
      <c r="D555" s="24"/>
      <c r="I555" s="31"/>
      <c r="J555" s="31"/>
      <c r="K555" s="31" t="str">
        <f t="shared" si="18"/>
        <v/>
      </c>
      <c r="M555" s="41" t="str">
        <f t="shared" si="19"/>
        <v/>
      </c>
      <c r="O555" s="13" t="s">
        <v>410</v>
      </c>
    </row>
    <row r="556" spans="3:15">
      <c r="C556" s="20">
        <v>550</v>
      </c>
      <c r="D556" s="24"/>
      <c r="I556" s="31"/>
      <c r="J556" s="31"/>
      <c r="K556" s="31" t="str">
        <f t="shared" si="18"/>
        <v/>
      </c>
      <c r="M556" s="41" t="str">
        <f t="shared" si="19"/>
        <v/>
      </c>
      <c r="O556" s="13" t="s">
        <v>410</v>
      </c>
    </row>
    <row r="557" spans="3:15">
      <c r="C557" s="20">
        <v>551</v>
      </c>
      <c r="D557" s="24"/>
      <c r="I557" s="31"/>
      <c r="J557" s="31"/>
      <c r="K557" s="31" t="str">
        <f t="shared" si="18"/>
        <v/>
      </c>
      <c r="M557" s="41" t="str">
        <f t="shared" si="19"/>
        <v/>
      </c>
      <c r="O557" s="13" t="s">
        <v>410</v>
      </c>
    </row>
    <row r="558" spans="3:15">
      <c r="C558" s="20">
        <v>552</v>
      </c>
      <c r="D558" s="24"/>
      <c r="I558" s="31"/>
      <c r="J558" s="31"/>
      <c r="K558" s="31" t="str">
        <f t="shared" si="18"/>
        <v/>
      </c>
      <c r="M558" s="41" t="str">
        <f t="shared" si="19"/>
        <v/>
      </c>
      <c r="O558" s="13" t="s">
        <v>410</v>
      </c>
    </row>
    <row r="559" spans="3:15">
      <c r="C559" s="20">
        <v>553</v>
      </c>
      <c r="D559" s="24"/>
      <c r="I559" s="31"/>
      <c r="J559" s="31"/>
      <c r="K559" s="31" t="str">
        <f t="shared" si="18"/>
        <v/>
      </c>
      <c r="M559" s="41" t="str">
        <f t="shared" si="19"/>
        <v/>
      </c>
      <c r="O559" s="13" t="s">
        <v>410</v>
      </c>
    </row>
    <row r="560" spans="3:15">
      <c r="C560" s="20">
        <v>554</v>
      </c>
      <c r="D560" s="24"/>
      <c r="I560" s="31"/>
      <c r="J560" s="31"/>
      <c r="K560" s="31" t="str">
        <f t="shared" si="18"/>
        <v/>
      </c>
      <c r="M560" s="41" t="str">
        <f t="shared" si="19"/>
        <v/>
      </c>
      <c r="O560" s="13" t="s">
        <v>410</v>
      </c>
    </row>
    <row r="561" spans="3:15">
      <c r="C561" s="20">
        <v>555</v>
      </c>
      <c r="D561" s="24"/>
      <c r="I561" s="31"/>
      <c r="J561" s="31"/>
      <c r="K561" s="31" t="str">
        <f t="shared" si="18"/>
        <v/>
      </c>
      <c r="M561" s="41" t="str">
        <f t="shared" si="19"/>
        <v/>
      </c>
      <c r="O561" s="13" t="s">
        <v>410</v>
      </c>
    </row>
    <row r="562" spans="3:15">
      <c r="C562" s="20">
        <v>556</v>
      </c>
      <c r="D562" s="24"/>
      <c r="I562" s="31"/>
      <c r="J562" s="31"/>
      <c r="K562" s="31" t="str">
        <f t="shared" si="18"/>
        <v/>
      </c>
      <c r="M562" s="41" t="str">
        <f t="shared" si="19"/>
        <v/>
      </c>
      <c r="O562" s="13" t="s">
        <v>410</v>
      </c>
    </row>
    <row r="563" spans="3:15">
      <c r="C563" s="20">
        <v>557</v>
      </c>
      <c r="D563" s="24"/>
      <c r="I563" s="31"/>
      <c r="J563" s="31"/>
      <c r="K563" s="31" t="str">
        <f t="shared" si="18"/>
        <v/>
      </c>
      <c r="M563" s="41" t="str">
        <f t="shared" si="19"/>
        <v/>
      </c>
      <c r="O563" s="13" t="s">
        <v>410</v>
      </c>
    </row>
    <row r="564" spans="3:15">
      <c r="C564" s="20">
        <v>558</v>
      </c>
      <c r="D564" s="24"/>
      <c r="I564" s="31"/>
      <c r="J564" s="31"/>
      <c r="K564" s="31" t="str">
        <f t="shared" si="18"/>
        <v/>
      </c>
      <c r="M564" s="41" t="str">
        <f t="shared" si="19"/>
        <v/>
      </c>
      <c r="O564" s="13" t="s">
        <v>410</v>
      </c>
    </row>
    <row r="565" spans="3:15">
      <c r="C565" s="20">
        <v>559</v>
      </c>
      <c r="D565" s="24"/>
      <c r="I565" s="31"/>
      <c r="J565" s="31"/>
      <c r="K565" s="31" t="str">
        <f t="shared" si="18"/>
        <v/>
      </c>
      <c r="M565" s="41" t="str">
        <f t="shared" si="19"/>
        <v/>
      </c>
      <c r="O565" s="13" t="s">
        <v>410</v>
      </c>
    </row>
    <row r="566" spans="3:15">
      <c r="C566" s="20">
        <v>560</v>
      </c>
      <c r="D566" s="24"/>
      <c r="I566" s="31"/>
      <c r="J566" s="31"/>
      <c r="K566" s="31" t="str">
        <f t="shared" si="18"/>
        <v/>
      </c>
      <c r="M566" s="41" t="str">
        <f t="shared" si="19"/>
        <v/>
      </c>
      <c r="O566" s="13" t="s">
        <v>410</v>
      </c>
    </row>
    <row r="567" spans="3:15">
      <c r="C567" s="20">
        <v>561</v>
      </c>
      <c r="D567" s="24"/>
      <c r="I567" s="31"/>
      <c r="J567" s="31"/>
      <c r="K567" s="31" t="str">
        <f t="shared" si="18"/>
        <v/>
      </c>
      <c r="M567" s="41" t="str">
        <f t="shared" si="19"/>
        <v/>
      </c>
      <c r="O567" s="13" t="s">
        <v>410</v>
      </c>
    </row>
    <row r="568" spans="3:15">
      <c r="C568" s="20">
        <v>562</v>
      </c>
      <c r="D568" s="24"/>
      <c r="I568" s="31"/>
      <c r="J568" s="31"/>
      <c r="K568" s="31" t="str">
        <f t="shared" si="18"/>
        <v/>
      </c>
      <c r="M568" s="41" t="str">
        <f t="shared" si="19"/>
        <v/>
      </c>
      <c r="O568" s="13" t="s">
        <v>410</v>
      </c>
    </row>
    <row r="569" spans="3:15">
      <c r="C569" s="20">
        <v>563</v>
      </c>
      <c r="D569" s="24"/>
      <c r="I569" s="31"/>
      <c r="J569" s="31"/>
      <c r="K569" s="31" t="str">
        <f t="shared" si="18"/>
        <v/>
      </c>
      <c r="M569" s="41" t="str">
        <f t="shared" si="19"/>
        <v/>
      </c>
      <c r="O569" s="13" t="s">
        <v>410</v>
      </c>
    </row>
    <row r="570" spans="3:15">
      <c r="C570" s="20">
        <v>564</v>
      </c>
      <c r="D570" s="24"/>
      <c r="I570" s="31"/>
      <c r="J570" s="31"/>
      <c r="K570" s="31" t="str">
        <f t="shared" si="18"/>
        <v/>
      </c>
      <c r="M570" s="41" t="str">
        <f t="shared" si="19"/>
        <v/>
      </c>
      <c r="O570" s="13" t="s">
        <v>410</v>
      </c>
    </row>
    <row r="571" spans="3:15">
      <c r="C571" s="20">
        <v>565</v>
      </c>
      <c r="D571" s="24"/>
      <c r="I571" s="31"/>
      <c r="J571" s="31"/>
      <c r="K571" s="31" t="str">
        <f t="shared" si="18"/>
        <v/>
      </c>
      <c r="M571" s="41" t="str">
        <f t="shared" si="19"/>
        <v/>
      </c>
      <c r="O571" s="13" t="s">
        <v>410</v>
      </c>
    </row>
    <row r="572" spans="3:15">
      <c r="C572" s="20">
        <v>566</v>
      </c>
      <c r="D572" s="24"/>
      <c r="I572" s="31"/>
      <c r="J572" s="31"/>
      <c r="K572" s="31" t="str">
        <f t="shared" si="18"/>
        <v/>
      </c>
      <c r="M572" s="41" t="str">
        <f t="shared" si="19"/>
        <v/>
      </c>
      <c r="O572" s="13" t="s">
        <v>410</v>
      </c>
    </row>
    <row r="573" spans="3:15">
      <c r="C573" s="20">
        <v>567</v>
      </c>
      <c r="D573" s="24"/>
      <c r="I573" s="31"/>
      <c r="J573" s="31"/>
      <c r="K573" s="31" t="str">
        <f t="shared" si="18"/>
        <v/>
      </c>
      <c r="M573" s="41" t="str">
        <f t="shared" si="19"/>
        <v/>
      </c>
      <c r="O573" s="13" t="s">
        <v>410</v>
      </c>
    </row>
    <row r="574" spans="3:15">
      <c r="C574" s="20">
        <v>568</v>
      </c>
      <c r="D574" s="24"/>
      <c r="I574" s="31"/>
      <c r="J574" s="31"/>
      <c r="K574" s="31" t="str">
        <f t="shared" si="18"/>
        <v/>
      </c>
      <c r="M574" s="41" t="str">
        <f t="shared" si="19"/>
        <v/>
      </c>
      <c r="O574" s="13" t="s">
        <v>410</v>
      </c>
    </row>
    <row r="575" spans="3:15">
      <c r="C575" s="20">
        <v>569</v>
      </c>
      <c r="D575" s="24"/>
      <c r="I575" s="31"/>
      <c r="J575" s="31"/>
      <c r="K575" s="31" t="str">
        <f t="shared" si="18"/>
        <v/>
      </c>
      <c r="M575" s="41" t="str">
        <f t="shared" si="19"/>
        <v/>
      </c>
      <c r="O575" s="13" t="s">
        <v>410</v>
      </c>
    </row>
    <row r="576" spans="3:15">
      <c r="C576" s="20">
        <v>570</v>
      </c>
      <c r="D576" s="24"/>
      <c r="I576" s="31"/>
      <c r="J576" s="31"/>
      <c r="K576" s="31" t="str">
        <f t="shared" si="18"/>
        <v/>
      </c>
      <c r="M576" s="41" t="str">
        <f t="shared" si="19"/>
        <v/>
      </c>
      <c r="O576" s="13" t="s">
        <v>410</v>
      </c>
    </row>
    <row r="577" spans="3:15">
      <c r="C577" s="20">
        <v>571</v>
      </c>
      <c r="D577" s="24"/>
      <c r="I577" s="31"/>
      <c r="J577" s="31"/>
      <c r="K577" s="31" t="str">
        <f t="shared" si="18"/>
        <v/>
      </c>
      <c r="M577" s="41" t="str">
        <f t="shared" si="19"/>
        <v/>
      </c>
      <c r="O577" s="13" t="s">
        <v>410</v>
      </c>
    </row>
    <row r="578" spans="3:15">
      <c r="C578" s="20">
        <v>572</v>
      </c>
      <c r="D578" s="24"/>
      <c r="I578" s="31"/>
      <c r="J578" s="31"/>
      <c r="K578" s="31" t="str">
        <f t="shared" si="18"/>
        <v/>
      </c>
      <c r="M578" s="41" t="str">
        <f t="shared" si="19"/>
        <v/>
      </c>
      <c r="O578" s="13" t="s">
        <v>410</v>
      </c>
    </row>
    <row r="579" spans="3:15">
      <c r="C579" s="20">
        <v>573</v>
      </c>
      <c r="D579" s="24"/>
      <c r="I579" s="31"/>
      <c r="J579" s="31"/>
      <c r="K579" s="31" t="str">
        <f t="shared" si="18"/>
        <v/>
      </c>
      <c r="M579" s="41" t="str">
        <f t="shared" si="19"/>
        <v/>
      </c>
      <c r="O579" s="13" t="s">
        <v>410</v>
      </c>
    </row>
    <row r="580" spans="3:15">
      <c r="C580" s="20">
        <v>574</v>
      </c>
      <c r="D580" s="24"/>
      <c r="I580" s="31"/>
      <c r="J580" s="31"/>
      <c r="K580" s="31" t="str">
        <f t="shared" si="18"/>
        <v/>
      </c>
      <c r="M580" s="41" t="str">
        <f t="shared" si="19"/>
        <v/>
      </c>
      <c r="O580" s="13" t="s">
        <v>410</v>
      </c>
    </row>
    <row r="581" spans="3:15">
      <c r="C581" s="20">
        <v>575</v>
      </c>
      <c r="D581" s="24"/>
      <c r="I581" s="31"/>
      <c r="J581" s="31"/>
      <c r="K581" s="31" t="str">
        <f t="shared" si="18"/>
        <v/>
      </c>
      <c r="M581" s="41" t="str">
        <f t="shared" si="19"/>
        <v/>
      </c>
      <c r="O581" s="13" t="s">
        <v>410</v>
      </c>
    </row>
    <row r="582" spans="3:15">
      <c r="C582" s="20">
        <v>576</v>
      </c>
      <c r="D582" s="24"/>
      <c r="I582" s="31"/>
      <c r="J582" s="31"/>
      <c r="K582" s="31" t="str">
        <f t="shared" si="18"/>
        <v/>
      </c>
      <c r="M582" s="41" t="str">
        <f t="shared" si="19"/>
        <v/>
      </c>
      <c r="O582" s="13" t="s">
        <v>410</v>
      </c>
    </row>
    <row r="583" spans="3:15">
      <c r="C583" s="20">
        <v>577</v>
      </c>
      <c r="D583" s="24"/>
      <c r="I583" s="31"/>
      <c r="J583" s="31"/>
      <c r="K583" s="31" t="str">
        <f t="shared" si="18"/>
        <v/>
      </c>
      <c r="M583" s="41" t="str">
        <f t="shared" si="19"/>
        <v/>
      </c>
      <c r="O583" s="13" t="s">
        <v>410</v>
      </c>
    </row>
    <row r="584" spans="3:15">
      <c r="C584" s="20">
        <v>578</v>
      </c>
      <c r="D584" s="24"/>
      <c r="I584" s="31"/>
      <c r="J584" s="31"/>
      <c r="K584" s="31" t="str">
        <f t="shared" ref="K584:K647" si="20">IF(K583="","",IF(K583=K583+J584-I584,"",K583+J584-I584))</f>
        <v/>
      </c>
      <c r="M584" s="41" t="str">
        <f t="shared" ref="M584:M631" si="21">IF(L584="SP-01","パン",IF(L584="SR-01","ご飯もの",IF(L584="SS-01","おかず",IF(L584="SD-01","飲料",IF(L584="ST-01","菓子類",IF(L584="SO-01","その他",IF(L584="MP-01","デスクトップパソコン",IF(L584="ML-01","ノートパソコン",IF(L584="MP-02","パソコンパーツ",IF(L584="MP-03","パソコン周辺機器",IF(L584="MS-01","スマートフォン本体",IF(L584="MT-01","タブレット本体",IF(L584="MM-01","携帯電話本体",IF(L584="MC-01","充電器",IF(L584="MC-02","カメラ",IF(L584="ME-01","家電",IF(L584="MA-01","オーディオ機器",IF(L584="MH-01","電気工具",IF(L584="MO-01","その他",IF(L584="DC-01","洋服",IF(L584="DS-01","靴",IF(L584="DW-01","時計",IF(L584="DA-01","アクセサリー",IF(L584="DO-01","その他",IF(L584="SD-01","食器",IF(L584="SF-01","家具",IF(L584="SB-01","寝具",IF(L584="SS-01","小物",IF(L584="SO-01","その他",IF(L584="OS-01","筆記具",IF(L584="ON-01","ノート",IF(L584="OR-01","ルーズリーフ",IF(L584="OM-01","工具",IF(L584="OO-01","その他",IF(L584="BN-01","小説",IF(L584="BN-02","新書",IF(L584="BM-01","雑誌",IF(L584="BC-01","漫画",IF(L584="BE-01","教育",IF(L584="BO-01","その他",IF(L584="CI-01","交通ICカード",IF(L584="CC-01","電子マネー",IF(L584="CC-02","クラウド課金",IF(L584="CG-01","ゲーム課金",IF(L584="CO-01","その他",IF(L584="IS-01","給与",IF(L584="IB-01","償却業務",IF(L584="IO-01","その他",IF(L584="AA-01","調整",IF(L584="AS-01","機密",IF(L584="AO-01","その他","")))))))))))))))))))))))))))))))))))))))))))))))))))</f>
        <v/>
      </c>
      <c r="O584" s="13" t="s">
        <v>410</v>
      </c>
    </row>
    <row r="585" spans="3:15">
      <c r="C585" s="20">
        <v>579</v>
      </c>
      <c r="D585" s="24"/>
      <c r="I585" s="31"/>
      <c r="J585" s="31"/>
      <c r="K585" s="31" t="str">
        <f t="shared" si="20"/>
        <v/>
      </c>
      <c r="M585" s="41" t="str">
        <f t="shared" si="21"/>
        <v/>
      </c>
      <c r="O585" s="13" t="s">
        <v>410</v>
      </c>
    </row>
    <row r="586" spans="3:15">
      <c r="C586" s="20">
        <v>580</v>
      </c>
      <c r="D586" s="24"/>
      <c r="I586" s="31"/>
      <c r="J586" s="31"/>
      <c r="K586" s="31" t="str">
        <f t="shared" si="20"/>
        <v/>
      </c>
      <c r="M586" s="41" t="str">
        <f t="shared" si="21"/>
        <v/>
      </c>
      <c r="O586" s="13" t="s">
        <v>410</v>
      </c>
    </row>
    <row r="587" spans="3:15">
      <c r="C587" s="20">
        <v>581</v>
      </c>
      <c r="D587" s="24"/>
      <c r="I587" s="31"/>
      <c r="J587" s="31"/>
      <c r="K587" s="31" t="str">
        <f t="shared" si="20"/>
        <v/>
      </c>
      <c r="M587" s="41" t="str">
        <f t="shared" si="21"/>
        <v/>
      </c>
      <c r="O587" s="13" t="s">
        <v>410</v>
      </c>
    </row>
    <row r="588" spans="3:15">
      <c r="C588" s="20">
        <v>582</v>
      </c>
      <c r="D588" s="24"/>
      <c r="I588" s="31"/>
      <c r="J588" s="31"/>
      <c r="K588" s="31" t="str">
        <f t="shared" si="20"/>
        <v/>
      </c>
      <c r="M588" s="41" t="str">
        <f t="shared" si="21"/>
        <v/>
      </c>
      <c r="O588" s="13" t="s">
        <v>410</v>
      </c>
    </row>
    <row r="589" spans="3:15">
      <c r="C589" s="20">
        <v>583</v>
      </c>
      <c r="D589" s="24"/>
      <c r="I589" s="31"/>
      <c r="J589" s="31"/>
      <c r="K589" s="31" t="str">
        <f t="shared" si="20"/>
        <v/>
      </c>
      <c r="M589" s="41" t="str">
        <f t="shared" si="21"/>
        <v/>
      </c>
      <c r="O589" s="13" t="s">
        <v>410</v>
      </c>
    </row>
    <row r="590" spans="3:15">
      <c r="C590" s="20">
        <v>584</v>
      </c>
      <c r="D590" s="24"/>
      <c r="I590" s="31"/>
      <c r="J590" s="31"/>
      <c r="K590" s="31" t="str">
        <f t="shared" si="20"/>
        <v/>
      </c>
      <c r="M590" s="41" t="str">
        <f t="shared" si="21"/>
        <v/>
      </c>
      <c r="O590" s="13" t="s">
        <v>410</v>
      </c>
    </row>
    <row r="591" spans="3:15">
      <c r="C591" s="20">
        <v>585</v>
      </c>
      <c r="D591" s="24"/>
      <c r="I591" s="31"/>
      <c r="J591" s="31"/>
      <c r="K591" s="31" t="str">
        <f t="shared" si="20"/>
        <v/>
      </c>
      <c r="M591" s="41" t="str">
        <f t="shared" si="21"/>
        <v/>
      </c>
      <c r="O591" s="13" t="s">
        <v>410</v>
      </c>
    </row>
    <row r="592" spans="3:15">
      <c r="C592" s="20">
        <v>586</v>
      </c>
      <c r="D592" s="24"/>
      <c r="I592" s="31"/>
      <c r="J592" s="31"/>
      <c r="K592" s="31" t="str">
        <f t="shared" si="20"/>
        <v/>
      </c>
      <c r="M592" s="41" t="str">
        <f t="shared" si="21"/>
        <v/>
      </c>
      <c r="O592" s="13" t="s">
        <v>410</v>
      </c>
    </row>
    <row r="593" spans="3:15">
      <c r="C593" s="20">
        <v>587</v>
      </c>
      <c r="D593" s="24"/>
      <c r="I593" s="31"/>
      <c r="J593" s="31"/>
      <c r="K593" s="31" t="str">
        <f t="shared" si="20"/>
        <v/>
      </c>
      <c r="M593" s="41" t="str">
        <f t="shared" si="21"/>
        <v/>
      </c>
      <c r="O593" s="13" t="s">
        <v>410</v>
      </c>
    </row>
    <row r="594" spans="3:15">
      <c r="C594" s="20">
        <v>588</v>
      </c>
      <c r="D594" s="24"/>
      <c r="I594" s="31"/>
      <c r="J594" s="31"/>
      <c r="K594" s="31" t="str">
        <f t="shared" si="20"/>
        <v/>
      </c>
      <c r="M594" s="41" t="str">
        <f t="shared" si="21"/>
        <v/>
      </c>
      <c r="O594" s="13" t="s">
        <v>410</v>
      </c>
    </row>
    <row r="595" spans="3:15">
      <c r="C595" s="20">
        <v>589</v>
      </c>
      <c r="D595" s="24"/>
      <c r="I595" s="31"/>
      <c r="J595" s="31"/>
      <c r="K595" s="31" t="str">
        <f t="shared" si="20"/>
        <v/>
      </c>
      <c r="M595" s="41" t="str">
        <f t="shared" si="21"/>
        <v/>
      </c>
      <c r="O595" s="13" t="s">
        <v>410</v>
      </c>
    </row>
    <row r="596" spans="3:15">
      <c r="C596" s="20">
        <v>590</v>
      </c>
      <c r="D596" s="24"/>
      <c r="I596" s="31"/>
      <c r="J596" s="31"/>
      <c r="K596" s="31" t="str">
        <f t="shared" si="20"/>
        <v/>
      </c>
      <c r="M596" s="41" t="str">
        <f t="shared" si="21"/>
        <v/>
      </c>
      <c r="O596" s="13" t="s">
        <v>410</v>
      </c>
    </row>
    <row r="597" spans="3:15">
      <c r="C597" s="20">
        <v>591</v>
      </c>
      <c r="D597" s="24"/>
      <c r="I597" s="31"/>
      <c r="J597" s="31"/>
      <c r="K597" s="31" t="str">
        <f t="shared" si="20"/>
        <v/>
      </c>
      <c r="M597" s="41" t="str">
        <f t="shared" si="21"/>
        <v/>
      </c>
      <c r="O597" s="13" t="s">
        <v>410</v>
      </c>
    </row>
    <row r="598" spans="3:15">
      <c r="C598" s="20">
        <v>592</v>
      </c>
      <c r="D598" s="24"/>
      <c r="I598" s="31"/>
      <c r="J598" s="31"/>
      <c r="K598" s="31" t="str">
        <f t="shared" si="20"/>
        <v/>
      </c>
      <c r="M598" s="41" t="str">
        <f t="shared" si="21"/>
        <v/>
      </c>
      <c r="O598" s="13" t="s">
        <v>410</v>
      </c>
    </row>
    <row r="599" spans="3:15">
      <c r="C599" s="20">
        <v>593</v>
      </c>
      <c r="D599" s="24"/>
      <c r="I599" s="31"/>
      <c r="J599" s="31"/>
      <c r="K599" s="31" t="str">
        <f t="shared" si="20"/>
        <v/>
      </c>
      <c r="M599" s="41" t="str">
        <f t="shared" si="21"/>
        <v/>
      </c>
      <c r="O599" s="13" t="s">
        <v>410</v>
      </c>
    </row>
    <row r="600" spans="3:15">
      <c r="C600" s="20">
        <v>594</v>
      </c>
      <c r="D600" s="24"/>
      <c r="I600" s="31"/>
      <c r="J600" s="31"/>
      <c r="K600" s="31" t="str">
        <f t="shared" si="20"/>
        <v/>
      </c>
      <c r="M600" s="41" t="str">
        <f t="shared" si="21"/>
        <v/>
      </c>
      <c r="O600" s="13" t="s">
        <v>410</v>
      </c>
    </row>
    <row r="601" spans="3:15">
      <c r="C601" s="20">
        <v>595</v>
      </c>
      <c r="D601" s="24"/>
      <c r="I601" s="31"/>
      <c r="J601" s="31"/>
      <c r="K601" s="31" t="str">
        <f t="shared" si="20"/>
        <v/>
      </c>
      <c r="M601" s="41" t="str">
        <f t="shared" si="21"/>
        <v/>
      </c>
      <c r="O601" s="13" t="s">
        <v>410</v>
      </c>
    </row>
    <row r="602" spans="3:15">
      <c r="C602" s="20">
        <v>596</v>
      </c>
      <c r="D602" s="24"/>
      <c r="I602" s="31"/>
      <c r="J602" s="31"/>
      <c r="K602" s="31" t="str">
        <f t="shared" si="20"/>
        <v/>
      </c>
      <c r="M602" s="41" t="str">
        <f t="shared" si="21"/>
        <v/>
      </c>
      <c r="O602" s="13" t="s">
        <v>410</v>
      </c>
    </row>
    <row r="603" spans="3:15">
      <c r="C603" s="20">
        <v>597</v>
      </c>
      <c r="D603" s="24"/>
      <c r="I603" s="31"/>
      <c r="J603" s="31"/>
      <c r="K603" s="31" t="str">
        <f t="shared" si="20"/>
        <v/>
      </c>
      <c r="M603" s="41" t="str">
        <f t="shared" si="21"/>
        <v/>
      </c>
      <c r="O603" s="13" t="s">
        <v>410</v>
      </c>
    </row>
    <row r="604" spans="3:15">
      <c r="C604" s="20">
        <v>598</v>
      </c>
      <c r="D604" s="24"/>
      <c r="I604" s="31"/>
      <c r="J604" s="31"/>
      <c r="K604" s="31" t="str">
        <f t="shared" si="20"/>
        <v/>
      </c>
      <c r="M604" s="41" t="str">
        <f t="shared" si="21"/>
        <v/>
      </c>
      <c r="O604" s="13" t="s">
        <v>410</v>
      </c>
    </row>
    <row r="605" spans="3:15">
      <c r="C605" s="20">
        <v>599</v>
      </c>
      <c r="D605" s="24"/>
      <c r="I605" s="31"/>
      <c r="J605" s="31"/>
      <c r="K605" s="31" t="str">
        <f t="shared" si="20"/>
        <v/>
      </c>
      <c r="M605" s="41" t="str">
        <f t="shared" si="21"/>
        <v/>
      </c>
      <c r="O605" s="13" t="s">
        <v>410</v>
      </c>
    </row>
    <row r="606" spans="3:15">
      <c r="C606" s="20">
        <v>600</v>
      </c>
      <c r="D606" s="24"/>
      <c r="I606" s="31"/>
      <c r="J606" s="31"/>
      <c r="K606" s="31" t="str">
        <f t="shared" si="20"/>
        <v/>
      </c>
      <c r="M606" s="41" t="str">
        <f t="shared" si="21"/>
        <v/>
      </c>
      <c r="O606" s="13" t="s">
        <v>410</v>
      </c>
    </row>
    <row r="607" spans="3:15">
      <c r="C607" s="20">
        <v>601</v>
      </c>
      <c r="D607" s="24"/>
      <c r="I607" s="31"/>
      <c r="J607" s="31"/>
      <c r="K607" s="31" t="str">
        <f t="shared" si="20"/>
        <v/>
      </c>
      <c r="M607" s="41" t="str">
        <f t="shared" si="21"/>
        <v/>
      </c>
      <c r="O607" s="13" t="s">
        <v>410</v>
      </c>
    </row>
    <row r="608" spans="3:15">
      <c r="C608" s="20">
        <v>602</v>
      </c>
      <c r="D608" s="24"/>
      <c r="I608" s="31"/>
      <c r="J608" s="31"/>
      <c r="K608" s="31" t="str">
        <f t="shared" si="20"/>
        <v/>
      </c>
      <c r="M608" s="41" t="str">
        <f t="shared" si="21"/>
        <v/>
      </c>
      <c r="O608" s="13" t="s">
        <v>410</v>
      </c>
    </row>
    <row r="609" spans="3:15">
      <c r="C609" s="20">
        <v>603</v>
      </c>
      <c r="D609" s="24"/>
      <c r="I609" s="31"/>
      <c r="J609" s="31"/>
      <c r="K609" s="31" t="str">
        <f t="shared" si="20"/>
        <v/>
      </c>
      <c r="M609" s="41" t="str">
        <f t="shared" si="21"/>
        <v/>
      </c>
      <c r="O609" s="13" t="s">
        <v>410</v>
      </c>
    </row>
    <row r="610" spans="3:15">
      <c r="C610" s="20">
        <v>604</v>
      </c>
      <c r="D610" s="24"/>
      <c r="I610" s="31"/>
      <c r="J610" s="31"/>
      <c r="K610" s="31" t="str">
        <f t="shared" si="20"/>
        <v/>
      </c>
      <c r="M610" s="41" t="str">
        <f t="shared" si="21"/>
        <v/>
      </c>
      <c r="O610" s="13" t="s">
        <v>410</v>
      </c>
    </row>
    <row r="611" spans="3:15">
      <c r="C611" s="20">
        <v>605</v>
      </c>
      <c r="D611" s="24"/>
      <c r="I611" s="31"/>
      <c r="J611" s="31"/>
      <c r="K611" s="31" t="str">
        <f t="shared" si="20"/>
        <v/>
      </c>
      <c r="M611" s="41" t="str">
        <f t="shared" si="21"/>
        <v/>
      </c>
      <c r="O611" s="13" t="s">
        <v>410</v>
      </c>
    </row>
    <row r="612" spans="3:15">
      <c r="C612" s="20">
        <v>606</v>
      </c>
      <c r="D612" s="24"/>
      <c r="I612" s="31"/>
      <c r="J612" s="31"/>
      <c r="K612" s="31" t="str">
        <f t="shared" si="20"/>
        <v/>
      </c>
      <c r="M612" s="41" t="str">
        <f t="shared" si="21"/>
        <v/>
      </c>
      <c r="O612" s="13" t="s">
        <v>410</v>
      </c>
    </row>
    <row r="613" spans="3:15">
      <c r="C613" s="20">
        <v>607</v>
      </c>
      <c r="D613" s="24"/>
      <c r="I613" s="31"/>
      <c r="J613" s="31"/>
      <c r="K613" s="31" t="str">
        <f t="shared" si="20"/>
        <v/>
      </c>
      <c r="M613" s="41" t="str">
        <f t="shared" si="21"/>
        <v/>
      </c>
      <c r="O613" s="13" t="s">
        <v>410</v>
      </c>
    </row>
    <row r="614" spans="3:15">
      <c r="C614" s="20">
        <v>608</v>
      </c>
      <c r="D614" s="24"/>
      <c r="I614" s="31"/>
      <c r="J614" s="31"/>
      <c r="K614" s="31" t="str">
        <f t="shared" si="20"/>
        <v/>
      </c>
      <c r="M614" s="41" t="str">
        <f t="shared" si="21"/>
        <v/>
      </c>
      <c r="O614" s="13" t="s">
        <v>410</v>
      </c>
    </row>
    <row r="615" spans="3:15">
      <c r="C615" s="20">
        <v>609</v>
      </c>
      <c r="D615" s="24"/>
      <c r="I615" s="31"/>
      <c r="J615" s="31"/>
      <c r="K615" s="31" t="str">
        <f t="shared" si="20"/>
        <v/>
      </c>
      <c r="M615" s="41" t="str">
        <f t="shared" si="21"/>
        <v/>
      </c>
      <c r="O615" s="13" t="s">
        <v>410</v>
      </c>
    </row>
    <row r="616" spans="3:15">
      <c r="C616" s="20">
        <v>610</v>
      </c>
      <c r="D616" s="24"/>
      <c r="I616" s="31"/>
      <c r="J616" s="31"/>
      <c r="K616" s="31" t="str">
        <f t="shared" si="20"/>
        <v/>
      </c>
      <c r="M616" s="41" t="str">
        <f t="shared" si="21"/>
        <v/>
      </c>
      <c r="O616" s="13" t="s">
        <v>410</v>
      </c>
    </row>
    <row r="617" spans="3:15">
      <c r="C617" s="20">
        <v>611</v>
      </c>
      <c r="D617" s="24"/>
      <c r="I617" s="31"/>
      <c r="J617" s="31"/>
      <c r="K617" s="31" t="str">
        <f t="shared" si="20"/>
        <v/>
      </c>
      <c r="M617" s="41" t="str">
        <f t="shared" si="21"/>
        <v/>
      </c>
      <c r="O617" s="13" t="s">
        <v>410</v>
      </c>
    </row>
    <row r="618" spans="3:15">
      <c r="C618" s="20">
        <v>612</v>
      </c>
      <c r="D618" s="24"/>
      <c r="I618" s="31"/>
      <c r="J618" s="31"/>
      <c r="K618" s="31" t="str">
        <f t="shared" si="20"/>
        <v/>
      </c>
      <c r="M618" s="41" t="str">
        <f t="shared" si="21"/>
        <v/>
      </c>
      <c r="O618" s="13" t="s">
        <v>410</v>
      </c>
    </row>
    <row r="619" spans="3:15">
      <c r="C619" s="20">
        <v>613</v>
      </c>
      <c r="D619" s="24"/>
      <c r="I619" s="31"/>
      <c r="J619" s="31"/>
      <c r="K619" s="31" t="str">
        <f t="shared" si="20"/>
        <v/>
      </c>
      <c r="M619" s="41" t="str">
        <f t="shared" si="21"/>
        <v/>
      </c>
      <c r="O619" s="13" t="s">
        <v>410</v>
      </c>
    </row>
    <row r="620" spans="3:15">
      <c r="C620" s="20">
        <v>614</v>
      </c>
      <c r="D620" s="24"/>
      <c r="I620" s="31"/>
      <c r="J620" s="31"/>
      <c r="K620" s="31" t="str">
        <f t="shared" si="20"/>
        <v/>
      </c>
      <c r="M620" s="41" t="str">
        <f t="shared" si="21"/>
        <v/>
      </c>
      <c r="O620" s="13" t="s">
        <v>410</v>
      </c>
    </row>
    <row r="621" spans="3:15">
      <c r="C621" s="20">
        <v>615</v>
      </c>
      <c r="D621" s="24"/>
      <c r="I621" s="31"/>
      <c r="J621" s="31"/>
      <c r="K621" s="31" t="str">
        <f t="shared" si="20"/>
        <v/>
      </c>
      <c r="M621" s="41" t="str">
        <f t="shared" si="21"/>
        <v/>
      </c>
      <c r="O621" s="13" t="s">
        <v>410</v>
      </c>
    </row>
    <row r="622" spans="3:15">
      <c r="C622" s="20">
        <v>616</v>
      </c>
      <c r="D622" s="24"/>
      <c r="I622" s="31"/>
      <c r="J622" s="31"/>
      <c r="K622" s="31" t="str">
        <f t="shared" si="20"/>
        <v/>
      </c>
      <c r="M622" s="41" t="str">
        <f t="shared" si="21"/>
        <v/>
      </c>
      <c r="O622" s="13" t="s">
        <v>410</v>
      </c>
    </row>
    <row r="623" spans="3:15">
      <c r="C623" s="20">
        <v>617</v>
      </c>
      <c r="D623" s="24"/>
      <c r="I623" s="31"/>
      <c r="J623" s="31"/>
      <c r="K623" s="31" t="str">
        <f t="shared" si="20"/>
        <v/>
      </c>
      <c r="M623" s="41" t="str">
        <f t="shared" si="21"/>
        <v/>
      </c>
      <c r="O623" s="13" t="s">
        <v>410</v>
      </c>
    </row>
    <row r="624" spans="3:15">
      <c r="C624" s="20">
        <v>618</v>
      </c>
      <c r="D624" s="24"/>
      <c r="I624" s="31"/>
      <c r="J624" s="31"/>
      <c r="K624" s="31" t="str">
        <f t="shared" si="20"/>
        <v/>
      </c>
      <c r="M624" s="41" t="str">
        <f t="shared" si="21"/>
        <v/>
      </c>
      <c r="O624" s="13" t="s">
        <v>410</v>
      </c>
    </row>
    <row r="625" spans="1:19">
      <c r="C625" s="20">
        <v>619</v>
      </c>
      <c r="D625" s="24"/>
      <c r="I625" s="31"/>
      <c r="J625" s="31"/>
      <c r="K625" s="31" t="str">
        <f t="shared" si="20"/>
        <v/>
      </c>
      <c r="M625" s="41" t="str">
        <f t="shared" si="21"/>
        <v/>
      </c>
      <c r="O625" s="13" t="s">
        <v>410</v>
      </c>
    </row>
    <row r="626" spans="1:19">
      <c r="C626" s="20">
        <v>620</v>
      </c>
      <c r="D626" s="24"/>
      <c r="I626" s="31"/>
      <c r="J626" s="31"/>
      <c r="K626" s="31" t="str">
        <f t="shared" si="20"/>
        <v/>
      </c>
      <c r="M626" s="41" t="str">
        <f t="shared" si="21"/>
        <v/>
      </c>
      <c r="O626" s="13" t="s">
        <v>410</v>
      </c>
    </row>
    <row r="627" spans="1:19">
      <c r="C627" s="20">
        <v>621</v>
      </c>
      <c r="I627" s="31"/>
      <c r="J627" s="31"/>
      <c r="K627" s="31" t="str">
        <f t="shared" si="20"/>
        <v/>
      </c>
      <c r="M627" s="41" t="str">
        <f t="shared" si="21"/>
        <v/>
      </c>
      <c r="O627" s="13" t="s">
        <v>410</v>
      </c>
    </row>
    <row r="628" spans="1:19">
      <c r="C628" s="20">
        <v>622</v>
      </c>
      <c r="I628" s="31"/>
      <c r="J628" s="31"/>
      <c r="K628" s="31" t="str">
        <f t="shared" si="20"/>
        <v/>
      </c>
      <c r="M628" s="41" t="str">
        <f t="shared" si="21"/>
        <v/>
      </c>
      <c r="O628" s="13" t="s">
        <v>410</v>
      </c>
    </row>
    <row r="629" spans="1:19">
      <c r="C629" s="20">
        <v>623</v>
      </c>
      <c r="I629" s="31"/>
      <c r="J629" s="31"/>
      <c r="K629" s="31" t="str">
        <f t="shared" si="20"/>
        <v/>
      </c>
      <c r="M629" s="41" t="str">
        <f t="shared" si="21"/>
        <v/>
      </c>
      <c r="O629" s="13" t="s">
        <v>410</v>
      </c>
    </row>
    <row r="630" spans="1:19">
      <c r="A630" s="21"/>
      <c r="B630" s="21"/>
      <c r="C630" s="20">
        <v>624</v>
      </c>
      <c r="D630" s="21"/>
      <c r="E630" s="21"/>
      <c r="F630" s="21"/>
      <c r="G630" s="21"/>
      <c r="H630" s="22"/>
      <c r="I630" s="33"/>
      <c r="J630" s="33"/>
      <c r="K630" s="31" t="str">
        <f t="shared" si="20"/>
        <v/>
      </c>
      <c r="L630" s="21"/>
      <c r="M630" s="41" t="str">
        <f t="shared" si="21"/>
        <v/>
      </c>
      <c r="N630" s="21"/>
      <c r="O630" s="28"/>
      <c r="P630" s="21"/>
      <c r="Q630" s="21"/>
      <c r="R630" s="21"/>
      <c r="S630" s="21"/>
    </row>
    <row r="631" spans="1:19">
      <c r="K631" s="31" t="str">
        <f t="shared" si="20"/>
        <v/>
      </c>
      <c r="M631" s="41" t="str">
        <f t="shared" si="21"/>
        <v/>
      </c>
    </row>
    <row r="632" spans="1:19">
      <c r="K632" s="31" t="str">
        <f t="shared" si="20"/>
        <v/>
      </c>
      <c r="M632" s="24" t="str">
        <f t="shared" ref="M632:M646" si="22">IF(L632="SP-01","パン",IF(L632="SR-01","ご飯もの",IF(L632="SD-01","飲料",IF(L632="ST-01","菓子類",IF(L632="SO-01","その他",IF(L632="MP-01","パソコン本体",IF(L632="MP-02","パソコンパーツ",IF(L632="MP-03","パソコン周辺機器",IF(L632="MS-01","スマートフォン本体",IF(L632="MM-01","携帯電話本体",IF(L632="MC-01","充電器",IF(L632="MT-01","タブレット本体",IF(L632="MC-02","カメラ",IF(L632="ME-01","家電",IF(L632="MA-01","オーディオ機器",IF(L632="MH-01","工具",IF(L632="MO-01","その他",IF(L632="DO-01","その他",IF(L632="OS-01","筆記具",IF(L632="ON-01","ノート",IF(L632="OM-01","工具",IF(L632="OO-01","その他",IF(L632="BN-01","小説",IF(L632="BN-02","新書",IF(L632="BM-01","雑誌",IF(L632="BC-01","漫画",IF(L632="BE-01","教育",IF(L632="BO-01","その他",IF(L632="CI-01","交通ICカード",IF(L632="CC-01","電子マネー",IF(L632="CC-02","クラウドサービス",IF(L632="CO-01","その他",IF(L632="AA-01","調整",IF(L632="AS-01","機密",IF(L632="AO-01","その他","")))))))))))))))))))))))))))))))))))</f>
        <v/>
      </c>
    </row>
    <row r="633" spans="1:19">
      <c r="K633" s="31" t="str">
        <f t="shared" si="20"/>
        <v/>
      </c>
      <c r="M633" s="24" t="str">
        <f t="shared" si="22"/>
        <v/>
      </c>
    </row>
    <row r="634" spans="1:19">
      <c r="K634" s="31" t="str">
        <f t="shared" si="20"/>
        <v/>
      </c>
      <c r="M634" s="24" t="str">
        <f t="shared" si="22"/>
        <v/>
      </c>
    </row>
    <row r="635" spans="1:19">
      <c r="K635" s="31" t="str">
        <f t="shared" si="20"/>
        <v/>
      </c>
      <c r="M635" s="24" t="str">
        <f t="shared" si="22"/>
        <v/>
      </c>
    </row>
    <row r="636" spans="1:19">
      <c r="K636" s="31" t="str">
        <f t="shared" si="20"/>
        <v/>
      </c>
      <c r="M636" s="24" t="str">
        <f t="shared" si="22"/>
        <v/>
      </c>
    </row>
    <row r="637" spans="1:19">
      <c r="K637" s="31" t="str">
        <f t="shared" si="20"/>
        <v/>
      </c>
      <c r="M637" s="24" t="str">
        <f t="shared" si="22"/>
        <v/>
      </c>
    </row>
    <row r="638" spans="1:19">
      <c r="K638" s="31" t="str">
        <f t="shared" si="20"/>
        <v/>
      </c>
      <c r="M638" s="24" t="str">
        <f t="shared" si="22"/>
        <v/>
      </c>
    </row>
    <row r="639" spans="1:19">
      <c r="K639" s="31" t="str">
        <f t="shared" si="20"/>
        <v/>
      </c>
      <c r="M639" s="24" t="str">
        <f t="shared" si="22"/>
        <v/>
      </c>
    </row>
    <row r="640" spans="1:19">
      <c r="K640" s="31" t="str">
        <f t="shared" si="20"/>
        <v/>
      </c>
      <c r="M640" s="24" t="str">
        <f t="shared" si="22"/>
        <v/>
      </c>
    </row>
    <row r="641" spans="11:13" customFormat="1">
      <c r="K641" s="31" t="str">
        <f t="shared" si="20"/>
        <v/>
      </c>
      <c r="M641" s="24" t="str">
        <f t="shared" si="22"/>
        <v/>
      </c>
    </row>
    <row r="642" spans="11:13" customFormat="1">
      <c r="K642" s="31" t="str">
        <f t="shared" si="20"/>
        <v/>
      </c>
      <c r="M642" s="24" t="str">
        <f t="shared" si="22"/>
        <v/>
      </c>
    </row>
    <row r="643" spans="11:13" customFormat="1">
      <c r="K643" s="31" t="str">
        <f t="shared" si="20"/>
        <v/>
      </c>
      <c r="M643" s="24" t="str">
        <f t="shared" si="22"/>
        <v/>
      </c>
    </row>
    <row r="644" spans="11:13" customFormat="1">
      <c r="K644" s="31" t="str">
        <f t="shared" si="20"/>
        <v/>
      </c>
      <c r="M644" s="24" t="str">
        <f t="shared" si="22"/>
        <v/>
      </c>
    </row>
    <row r="645" spans="11:13" customFormat="1">
      <c r="K645" s="31" t="str">
        <f t="shared" si="20"/>
        <v/>
      </c>
      <c r="M645" s="24" t="str">
        <f t="shared" si="22"/>
        <v/>
      </c>
    </row>
    <row r="646" spans="11:13" customFormat="1">
      <c r="K646" s="31" t="str">
        <f t="shared" si="20"/>
        <v/>
      </c>
      <c r="M646" s="24" t="str">
        <f t="shared" si="22"/>
        <v/>
      </c>
    </row>
    <row r="647" spans="11:13" customFormat="1">
      <c r="K647" s="31" t="str">
        <f t="shared" si="20"/>
        <v/>
      </c>
      <c r="M647" s="24" t="str">
        <f t="shared" ref="M647:M681" si="23">IF(L647="SP-01","パン",IF(L647="SR-01","ご飯もの",IF(L647="SD-01","飲料",IF(L647="ST-01","菓子類",IF(L647="SO-01","その他",IF(L647="MP-01","パソコン本体",IF(L647="MP-02","パソコンパーツ",IF(L647="MP-03","パソコン周辺機器",IF(L647="MS-01","スマートフォン本体",IF(L647="MM-01","携帯電話本体",IF(L647="MC-01","充電器",IF(L647="MT-01","タブレット本体",IF(L647="MC-02","カメラ",IF(L647="ME-01","家電",IF(L647="MA-01","オーディオ機器",IF(L647="MH-01","工具",IF(L647="MO-01","その他",IF(L647="DO-01","その他",IF(L647="OS-01","筆記具",IF(L647="ON-01","ノート",IF(L647="OM-01","工具",IF(L647="OO-01","その他",IF(L647="BN-01","小説",IF(L647="BN-02","新書",IF(L647="BM-01","雑誌",IF(L647="BC-01","漫画",IF(L647="BE-01","教育",IF(L647="BO-01","その他",IF(L647="CI-01","交通ICカード",IF(L647="CC-01","電子マネー",IF(L647="CC-02","クラウドサービス",IF(L647="CO-01","その他",IF(L647="AA-01","調整",IF(L647="AS-01","機密",IF(L647="AO-01","その他","")))))))))))))))))))))))))))))))))))</f>
        <v/>
      </c>
    </row>
    <row r="648" spans="11:13" customFormat="1">
      <c r="K648" s="31" t="str">
        <f t="shared" ref="K648:K711" si="24">IF(K647="","",IF(K647=K647+J648-I648,"",K647+J648-I648))</f>
        <v/>
      </c>
      <c r="M648" s="24" t="str">
        <f t="shared" si="23"/>
        <v/>
      </c>
    </row>
    <row r="649" spans="11:13" customFormat="1">
      <c r="K649" s="31" t="str">
        <f t="shared" si="24"/>
        <v/>
      </c>
      <c r="M649" s="24" t="str">
        <f t="shared" si="23"/>
        <v/>
      </c>
    </row>
    <row r="650" spans="11:13" customFormat="1">
      <c r="K650" s="31" t="str">
        <f t="shared" si="24"/>
        <v/>
      </c>
      <c r="M650" s="24" t="str">
        <f t="shared" si="23"/>
        <v/>
      </c>
    </row>
    <row r="651" spans="11:13" customFormat="1">
      <c r="K651" s="31" t="str">
        <f t="shared" si="24"/>
        <v/>
      </c>
      <c r="M651" s="24" t="str">
        <f t="shared" si="23"/>
        <v/>
      </c>
    </row>
    <row r="652" spans="11:13" customFormat="1">
      <c r="K652" s="31" t="str">
        <f t="shared" si="24"/>
        <v/>
      </c>
      <c r="M652" s="24" t="str">
        <f t="shared" si="23"/>
        <v/>
      </c>
    </row>
    <row r="653" spans="11:13" customFormat="1">
      <c r="K653" s="31" t="str">
        <f t="shared" si="24"/>
        <v/>
      </c>
      <c r="M653" s="24" t="str">
        <f t="shared" si="23"/>
        <v/>
      </c>
    </row>
    <row r="654" spans="11:13" customFormat="1">
      <c r="K654" s="31" t="str">
        <f t="shared" si="24"/>
        <v/>
      </c>
      <c r="M654" s="24" t="str">
        <f t="shared" si="23"/>
        <v/>
      </c>
    </row>
    <row r="655" spans="11:13" customFormat="1">
      <c r="K655" s="31" t="str">
        <f t="shared" si="24"/>
        <v/>
      </c>
      <c r="M655" s="24" t="str">
        <f t="shared" si="23"/>
        <v/>
      </c>
    </row>
    <row r="656" spans="11:13" customFormat="1">
      <c r="K656" s="31" t="str">
        <f t="shared" si="24"/>
        <v/>
      </c>
      <c r="M656" s="24" t="str">
        <f t="shared" si="23"/>
        <v/>
      </c>
    </row>
    <row r="657" spans="11:13" customFormat="1">
      <c r="K657" s="31" t="str">
        <f t="shared" si="24"/>
        <v/>
      </c>
      <c r="M657" s="24" t="str">
        <f t="shared" si="23"/>
        <v/>
      </c>
    </row>
    <row r="658" spans="11:13" customFormat="1">
      <c r="K658" s="31" t="str">
        <f t="shared" si="24"/>
        <v/>
      </c>
      <c r="M658" s="24" t="str">
        <f t="shared" si="23"/>
        <v/>
      </c>
    </row>
    <row r="659" spans="11:13" customFormat="1">
      <c r="K659" s="31" t="str">
        <f t="shared" si="24"/>
        <v/>
      </c>
      <c r="M659" s="24" t="str">
        <f t="shared" si="23"/>
        <v/>
      </c>
    </row>
    <row r="660" spans="11:13" customFormat="1">
      <c r="K660" s="31" t="str">
        <f t="shared" si="24"/>
        <v/>
      </c>
      <c r="M660" s="24" t="str">
        <f t="shared" si="23"/>
        <v/>
      </c>
    </row>
    <row r="661" spans="11:13" customFormat="1">
      <c r="K661" s="31" t="str">
        <f t="shared" si="24"/>
        <v/>
      </c>
      <c r="M661" s="24" t="str">
        <f t="shared" si="23"/>
        <v/>
      </c>
    </row>
    <row r="662" spans="11:13" customFormat="1">
      <c r="K662" s="31" t="str">
        <f t="shared" si="24"/>
        <v/>
      </c>
      <c r="M662" s="24" t="str">
        <f t="shared" si="23"/>
        <v/>
      </c>
    </row>
    <row r="663" spans="11:13" customFormat="1">
      <c r="K663" s="31" t="str">
        <f t="shared" si="24"/>
        <v/>
      </c>
      <c r="M663" s="24" t="str">
        <f t="shared" si="23"/>
        <v/>
      </c>
    </row>
    <row r="664" spans="11:13" customFormat="1">
      <c r="K664" s="31" t="str">
        <f t="shared" si="24"/>
        <v/>
      </c>
      <c r="M664" s="24" t="str">
        <f t="shared" si="23"/>
        <v/>
      </c>
    </row>
    <row r="665" spans="11:13" customFormat="1">
      <c r="K665" s="31" t="str">
        <f t="shared" si="24"/>
        <v/>
      </c>
      <c r="M665" s="24" t="str">
        <f t="shared" si="23"/>
        <v/>
      </c>
    </row>
    <row r="666" spans="11:13" customFormat="1">
      <c r="K666" s="31" t="str">
        <f t="shared" si="24"/>
        <v/>
      </c>
      <c r="M666" s="24" t="str">
        <f t="shared" si="23"/>
        <v/>
      </c>
    </row>
    <row r="667" spans="11:13" customFormat="1">
      <c r="K667" s="31" t="str">
        <f t="shared" si="24"/>
        <v/>
      </c>
      <c r="M667" s="24" t="str">
        <f t="shared" si="23"/>
        <v/>
      </c>
    </row>
    <row r="668" spans="11:13" customFormat="1">
      <c r="K668" s="31" t="str">
        <f t="shared" si="24"/>
        <v/>
      </c>
      <c r="M668" s="24" t="str">
        <f t="shared" si="23"/>
        <v/>
      </c>
    </row>
    <row r="669" spans="11:13" customFormat="1">
      <c r="K669" s="31" t="str">
        <f t="shared" si="24"/>
        <v/>
      </c>
      <c r="M669" s="24" t="str">
        <f t="shared" si="23"/>
        <v/>
      </c>
    </row>
    <row r="670" spans="11:13" customFormat="1">
      <c r="K670" s="31" t="str">
        <f t="shared" si="24"/>
        <v/>
      </c>
      <c r="M670" s="24" t="str">
        <f t="shared" si="23"/>
        <v/>
      </c>
    </row>
    <row r="671" spans="11:13" customFormat="1">
      <c r="K671" s="31" t="str">
        <f t="shared" si="24"/>
        <v/>
      </c>
      <c r="M671" s="24" t="str">
        <f t="shared" si="23"/>
        <v/>
      </c>
    </row>
    <row r="672" spans="11:13" customFormat="1">
      <c r="K672" s="31" t="str">
        <f t="shared" si="24"/>
        <v/>
      </c>
      <c r="M672" s="24" t="str">
        <f t="shared" si="23"/>
        <v/>
      </c>
    </row>
    <row r="673" spans="11:13" customFormat="1">
      <c r="K673" s="31" t="str">
        <f t="shared" si="24"/>
        <v/>
      </c>
      <c r="M673" s="24" t="str">
        <f t="shared" si="23"/>
        <v/>
      </c>
    </row>
    <row r="674" spans="11:13" customFormat="1">
      <c r="K674" s="31" t="str">
        <f t="shared" si="24"/>
        <v/>
      </c>
      <c r="M674" s="24" t="str">
        <f t="shared" si="23"/>
        <v/>
      </c>
    </row>
    <row r="675" spans="11:13" customFormat="1">
      <c r="K675" s="31" t="str">
        <f t="shared" si="24"/>
        <v/>
      </c>
      <c r="M675" s="24" t="str">
        <f t="shared" si="23"/>
        <v/>
      </c>
    </row>
    <row r="676" spans="11:13" customFormat="1">
      <c r="K676" s="31" t="str">
        <f t="shared" si="24"/>
        <v/>
      </c>
      <c r="M676" s="24" t="str">
        <f t="shared" si="23"/>
        <v/>
      </c>
    </row>
    <row r="677" spans="11:13" customFormat="1">
      <c r="K677" s="31" t="str">
        <f t="shared" si="24"/>
        <v/>
      </c>
      <c r="M677" s="24" t="str">
        <f t="shared" si="23"/>
        <v/>
      </c>
    </row>
    <row r="678" spans="11:13" customFormat="1">
      <c r="K678" s="31" t="str">
        <f t="shared" si="24"/>
        <v/>
      </c>
      <c r="M678" s="24" t="str">
        <f t="shared" si="23"/>
        <v/>
      </c>
    </row>
    <row r="679" spans="11:13" customFormat="1">
      <c r="K679" s="31" t="str">
        <f t="shared" si="24"/>
        <v/>
      </c>
      <c r="M679" s="24" t="str">
        <f t="shared" si="23"/>
        <v/>
      </c>
    </row>
    <row r="680" spans="11:13" customFormat="1">
      <c r="K680" s="31" t="str">
        <f t="shared" si="24"/>
        <v/>
      </c>
      <c r="M680" s="24" t="str">
        <f t="shared" si="23"/>
        <v/>
      </c>
    </row>
    <row r="681" spans="11:13" customFormat="1">
      <c r="K681" s="31" t="str">
        <f t="shared" si="24"/>
        <v/>
      </c>
      <c r="M681" s="24" t="str">
        <f t="shared" si="23"/>
        <v/>
      </c>
    </row>
    <row r="682" spans="11:13" customFormat="1">
      <c r="K682" s="31" t="str">
        <f t="shared" si="24"/>
        <v/>
      </c>
    </row>
    <row r="683" spans="11:13" customFormat="1">
      <c r="K683" s="31" t="str">
        <f t="shared" si="24"/>
        <v/>
      </c>
    </row>
    <row r="684" spans="11:13" customFormat="1">
      <c r="K684" s="31" t="str">
        <f t="shared" si="24"/>
        <v/>
      </c>
    </row>
    <row r="685" spans="11:13" customFormat="1">
      <c r="K685" s="31" t="str">
        <f t="shared" si="24"/>
        <v/>
      </c>
    </row>
    <row r="686" spans="11:13" customFormat="1">
      <c r="K686" s="31" t="str">
        <f t="shared" si="24"/>
        <v/>
      </c>
    </row>
    <row r="687" spans="11:13" customFormat="1">
      <c r="K687" s="31" t="str">
        <f t="shared" si="24"/>
        <v/>
      </c>
    </row>
    <row r="688" spans="11:13" customFormat="1">
      <c r="K688" s="31" t="str">
        <f t="shared" si="24"/>
        <v/>
      </c>
    </row>
    <row r="689" spans="11:11" customFormat="1">
      <c r="K689" s="31" t="str">
        <f t="shared" si="24"/>
        <v/>
      </c>
    </row>
    <row r="690" spans="11:11" customFormat="1">
      <c r="K690" s="31" t="str">
        <f t="shared" si="24"/>
        <v/>
      </c>
    </row>
    <row r="691" spans="11:11" customFormat="1">
      <c r="K691" s="31" t="str">
        <f t="shared" si="24"/>
        <v/>
      </c>
    </row>
    <row r="692" spans="11:11" customFormat="1">
      <c r="K692" s="31" t="str">
        <f t="shared" si="24"/>
        <v/>
      </c>
    </row>
    <row r="693" spans="11:11" customFormat="1">
      <c r="K693" s="31" t="str">
        <f t="shared" si="24"/>
        <v/>
      </c>
    </row>
    <row r="694" spans="11:11" customFormat="1">
      <c r="K694" s="31" t="str">
        <f t="shared" si="24"/>
        <v/>
      </c>
    </row>
    <row r="695" spans="11:11" customFormat="1">
      <c r="K695" s="31" t="str">
        <f t="shared" si="24"/>
        <v/>
      </c>
    </row>
    <row r="696" spans="11:11" customFormat="1">
      <c r="K696" s="31" t="str">
        <f t="shared" si="24"/>
        <v/>
      </c>
    </row>
    <row r="697" spans="11:11" customFormat="1">
      <c r="K697" s="31" t="str">
        <f t="shared" si="24"/>
        <v/>
      </c>
    </row>
    <row r="698" spans="11:11" customFormat="1">
      <c r="K698" s="31" t="str">
        <f t="shared" si="24"/>
        <v/>
      </c>
    </row>
    <row r="699" spans="11:11" customFormat="1">
      <c r="K699" s="31" t="str">
        <f t="shared" si="24"/>
        <v/>
      </c>
    </row>
    <row r="700" spans="11:11" customFormat="1">
      <c r="K700" s="31" t="str">
        <f t="shared" si="24"/>
        <v/>
      </c>
    </row>
    <row r="701" spans="11:11" customFormat="1">
      <c r="K701" s="31" t="str">
        <f t="shared" si="24"/>
        <v/>
      </c>
    </row>
    <row r="702" spans="11:11" customFormat="1">
      <c r="K702" s="31" t="str">
        <f t="shared" si="24"/>
        <v/>
      </c>
    </row>
    <row r="703" spans="11:11" customFormat="1">
      <c r="K703" s="31" t="str">
        <f t="shared" si="24"/>
        <v/>
      </c>
    </row>
    <row r="704" spans="11:11" customFormat="1">
      <c r="K704" s="31" t="str">
        <f t="shared" si="24"/>
        <v/>
      </c>
    </row>
    <row r="705" spans="11:11" customFormat="1">
      <c r="K705" s="31" t="str">
        <f t="shared" si="24"/>
        <v/>
      </c>
    </row>
    <row r="706" spans="11:11" customFormat="1">
      <c r="K706" s="31" t="str">
        <f t="shared" si="24"/>
        <v/>
      </c>
    </row>
    <row r="707" spans="11:11" customFormat="1">
      <c r="K707" s="31" t="str">
        <f t="shared" si="24"/>
        <v/>
      </c>
    </row>
    <row r="708" spans="11:11" customFormat="1">
      <c r="K708" s="31" t="str">
        <f t="shared" si="24"/>
        <v/>
      </c>
    </row>
    <row r="709" spans="11:11" customFormat="1">
      <c r="K709" s="31" t="str">
        <f t="shared" si="24"/>
        <v/>
      </c>
    </row>
    <row r="710" spans="11:11" customFormat="1">
      <c r="K710" s="31" t="str">
        <f t="shared" si="24"/>
        <v/>
      </c>
    </row>
    <row r="711" spans="11:11" customFormat="1">
      <c r="K711" s="31" t="str">
        <f t="shared" si="24"/>
        <v/>
      </c>
    </row>
    <row r="712" spans="11:11" customFormat="1">
      <c r="K712" s="31" t="str">
        <f t="shared" ref="K712:K775" si="25">IF(K711="","",IF(K711=K711+J712-I712,"",K711+J712-I712))</f>
        <v/>
      </c>
    </row>
    <row r="713" spans="11:11" customFormat="1">
      <c r="K713" s="31" t="str">
        <f t="shared" si="25"/>
        <v/>
      </c>
    </row>
    <row r="714" spans="11:11" customFormat="1">
      <c r="K714" s="31" t="str">
        <f t="shared" si="25"/>
        <v/>
      </c>
    </row>
    <row r="715" spans="11:11" customFormat="1">
      <c r="K715" s="31" t="str">
        <f t="shared" si="25"/>
        <v/>
      </c>
    </row>
    <row r="716" spans="11:11" customFormat="1">
      <c r="K716" s="31" t="str">
        <f t="shared" si="25"/>
        <v/>
      </c>
    </row>
    <row r="717" spans="11:11" customFormat="1">
      <c r="K717" s="31" t="str">
        <f t="shared" si="25"/>
        <v/>
      </c>
    </row>
    <row r="718" spans="11:11" customFormat="1">
      <c r="K718" s="31" t="str">
        <f t="shared" si="25"/>
        <v/>
      </c>
    </row>
    <row r="719" spans="11:11" customFormat="1">
      <c r="K719" s="31" t="str">
        <f t="shared" si="25"/>
        <v/>
      </c>
    </row>
    <row r="720" spans="11:11" customFormat="1">
      <c r="K720" s="31" t="str">
        <f t="shared" si="25"/>
        <v/>
      </c>
    </row>
    <row r="721" spans="11:11" customFormat="1">
      <c r="K721" s="31" t="str">
        <f t="shared" si="25"/>
        <v/>
      </c>
    </row>
    <row r="722" spans="11:11" customFormat="1">
      <c r="K722" s="31" t="str">
        <f t="shared" si="25"/>
        <v/>
      </c>
    </row>
    <row r="723" spans="11:11" customFormat="1">
      <c r="K723" s="31" t="str">
        <f t="shared" si="25"/>
        <v/>
      </c>
    </row>
    <row r="724" spans="11:11" customFormat="1">
      <c r="K724" s="31" t="str">
        <f t="shared" si="25"/>
        <v/>
      </c>
    </row>
    <row r="725" spans="11:11" customFormat="1">
      <c r="K725" s="31" t="str">
        <f t="shared" si="25"/>
        <v/>
      </c>
    </row>
    <row r="726" spans="11:11" customFormat="1">
      <c r="K726" s="31" t="str">
        <f t="shared" si="25"/>
        <v/>
      </c>
    </row>
    <row r="727" spans="11:11" customFormat="1">
      <c r="K727" s="31" t="str">
        <f t="shared" si="25"/>
        <v/>
      </c>
    </row>
    <row r="728" spans="11:11" customFormat="1">
      <c r="K728" s="31" t="str">
        <f t="shared" si="25"/>
        <v/>
      </c>
    </row>
    <row r="729" spans="11:11" customFormat="1">
      <c r="K729" s="31" t="str">
        <f t="shared" si="25"/>
        <v/>
      </c>
    </row>
    <row r="730" spans="11:11" customFormat="1">
      <c r="K730" s="31" t="str">
        <f t="shared" si="25"/>
        <v/>
      </c>
    </row>
    <row r="731" spans="11:11" customFormat="1">
      <c r="K731" s="31" t="str">
        <f t="shared" si="25"/>
        <v/>
      </c>
    </row>
    <row r="732" spans="11:11" customFormat="1">
      <c r="K732" s="31" t="str">
        <f t="shared" si="25"/>
        <v/>
      </c>
    </row>
    <row r="733" spans="11:11" customFormat="1">
      <c r="K733" s="31" t="str">
        <f t="shared" si="25"/>
        <v/>
      </c>
    </row>
    <row r="734" spans="11:11" customFormat="1">
      <c r="K734" s="31" t="str">
        <f t="shared" si="25"/>
        <v/>
      </c>
    </row>
    <row r="735" spans="11:11" customFormat="1">
      <c r="K735" s="31" t="str">
        <f t="shared" si="25"/>
        <v/>
      </c>
    </row>
    <row r="736" spans="11:11" customFormat="1">
      <c r="K736" s="31" t="str">
        <f t="shared" si="25"/>
        <v/>
      </c>
    </row>
    <row r="737" spans="11:11" customFormat="1">
      <c r="K737" s="31" t="str">
        <f t="shared" si="25"/>
        <v/>
      </c>
    </row>
    <row r="738" spans="11:11" customFormat="1">
      <c r="K738" s="31" t="str">
        <f t="shared" si="25"/>
        <v/>
      </c>
    </row>
    <row r="739" spans="11:11" customFormat="1">
      <c r="K739" s="31" t="str">
        <f t="shared" si="25"/>
        <v/>
      </c>
    </row>
    <row r="740" spans="11:11" customFormat="1">
      <c r="K740" s="31" t="str">
        <f t="shared" si="25"/>
        <v/>
      </c>
    </row>
    <row r="741" spans="11:11" customFormat="1">
      <c r="K741" s="31" t="str">
        <f t="shared" si="25"/>
        <v/>
      </c>
    </row>
    <row r="742" spans="11:11" customFormat="1">
      <c r="K742" s="31" t="str">
        <f t="shared" si="25"/>
        <v/>
      </c>
    </row>
    <row r="743" spans="11:11" customFormat="1">
      <c r="K743" s="31" t="str">
        <f t="shared" si="25"/>
        <v/>
      </c>
    </row>
    <row r="744" spans="11:11" customFormat="1">
      <c r="K744" s="31" t="str">
        <f t="shared" si="25"/>
        <v/>
      </c>
    </row>
    <row r="745" spans="11:11" customFormat="1">
      <c r="K745" s="31" t="str">
        <f t="shared" si="25"/>
        <v/>
      </c>
    </row>
    <row r="746" spans="11:11" customFormat="1">
      <c r="K746" s="31" t="str">
        <f t="shared" si="25"/>
        <v/>
      </c>
    </row>
    <row r="747" spans="11:11" customFormat="1">
      <c r="K747" s="31" t="str">
        <f t="shared" si="25"/>
        <v/>
      </c>
    </row>
    <row r="748" spans="11:11" customFormat="1">
      <c r="K748" s="31" t="str">
        <f t="shared" si="25"/>
        <v/>
      </c>
    </row>
    <row r="749" spans="11:11" customFormat="1">
      <c r="K749" s="31" t="str">
        <f t="shared" si="25"/>
        <v/>
      </c>
    </row>
    <row r="750" spans="11:11" customFormat="1">
      <c r="K750" s="31" t="str">
        <f t="shared" si="25"/>
        <v/>
      </c>
    </row>
    <row r="751" spans="11:11" customFormat="1">
      <c r="K751" s="31" t="str">
        <f t="shared" si="25"/>
        <v/>
      </c>
    </row>
    <row r="752" spans="11:11" customFormat="1">
      <c r="K752" s="31" t="str">
        <f t="shared" si="25"/>
        <v/>
      </c>
    </row>
    <row r="753" spans="11:11" customFormat="1">
      <c r="K753" s="31" t="str">
        <f t="shared" si="25"/>
        <v/>
      </c>
    </row>
    <row r="754" spans="11:11" customFormat="1">
      <c r="K754" s="31" t="str">
        <f t="shared" si="25"/>
        <v/>
      </c>
    </row>
    <row r="755" spans="11:11" customFormat="1">
      <c r="K755" s="31" t="str">
        <f t="shared" si="25"/>
        <v/>
      </c>
    </row>
    <row r="756" spans="11:11" customFormat="1">
      <c r="K756" s="31" t="str">
        <f t="shared" si="25"/>
        <v/>
      </c>
    </row>
    <row r="757" spans="11:11" customFormat="1">
      <c r="K757" s="31" t="str">
        <f t="shared" si="25"/>
        <v/>
      </c>
    </row>
    <row r="758" spans="11:11" customFormat="1">
      <c r="K758" s="31" t="str">
        <f t="shared" si="25"/>
        <v/>
      </c>
    </row>
    <row r="759" spans="11:11" customFormat="1">
      <c r="K759" s="31" t="str">
        <f t="shared" si="25"/>
        <v/>
      </c>
    </row>
    <row r="760" spans="11:11" customFormat="1">
      <c r="K760" s="31" t="str">
        <f t="shared" si="25"/>
        <v/>
      </c>
    </row>
    <row r="761" spans="11:11" customFormat="1">
      <c r="K761" s="31" t="str">
        <f t="shared" si="25"/>
        <v/>
      </c>
    </row>
    <row r="762" spans="11:11" customFormat="1">
      <c r="K762" s="31" t="str">
        <f t="shared" si="25"/>
        <v/>
      </c>
    </row>
    <row r="763" spans="11:11" customFormat="1">
      <c r="K763" s="31" t="str">
        <f t="shared" si="25"/>
        <v/>
      </c>
    </row>
    <row r="764" spans="11:11" customFormat="1">
      <c r="K764" s="31" t="str">
        <f t="shared" si="25"/>
        <v/>
      </c>
    </row>
    <row r="765" spans="11:11" customFormat="1">
      <c r="K765" s="31" t="str">
        <f t="shared" si="25"/>
        <v/>
      </c>
    </row>
    <row r="766" spans="11:11" customFormat="1">
      <c r="K766" s="31" t="str">
        <f t="shared" si="25"/>
        <v/>
      </c>
    </row>
    <row r="767" spans="11:11" customFormat="1">
      <c r="K767" s="31" t="str">
        <f t="shared" si="25"/>
        <v/>
      </c>
    </row>
    <row r="768" spans="11:11" customFormat="1">
      <c r="K768" s="31" t="str">
        <f t="shared" si="25"/>
        <v/>
      </c>
    </row>
    <row r="769" spans="11:11" customFormat="1">
      <c r="K769" s="31" t="str">
        <f t="shared" si="25"/>
        <v/>
      </c>
    </row>
    <row r="770" spans="11:11" customFormat="1">
      <c r="K770" s="31" t="str">
        <f t="shared" si="25"/>
        <v/>
      </c>
    </row>
    <row r="771" spans="11:11" customFormat="1">
      <c r="K771" s="31" t="str">
        <f t="shared" si="25"/>
        <v/>
      </c>
    </row>
    <row r="772" spans="11:11" customFormat="1">
      <c r="K772" s="31" t="str">
        <f t="shared" si="25"/>
        <v/>
      </c>
    </row>
    <row r="773" spans="11:11" customFormat="1">
      <c r="K773" s="31" t="str">
        <f t="shared" si="25"/>
        <v/>
      </c>
    </row>
    <row r="774" spans="11:11" customFormat="1">
      <c r="K774" s="31" t="str">
        <f t="shared" si="25"/>
        <v/>
      </c>
    </row>
    <row r="775" spans="11:11" customFormat="1">
      <c r="K775" s="31" t="str">
        <f t="shared" si="25"/>
        <v/>
      </c>
    </row>
    <row r="776" spans="11:11" customFormat="1">
      <c r="K776" s="31" t="str">
        <f t="shared" ref="K776:K839" si="26">IF(K775="","",IF(K775=K775+J776-I776,"",K775+J776-I776))</f>
        <v/>
      </c>
    </row>
    <row r="777" spans="11:11" customFormat="1">
      <c r="K777" s="31" t="str">
        <f t="shared" si="26"/>
        <v/>
      </c>
    </row>
    <row r="778" spans="11:11" customFormat="1">
      <c r="K778" s="31" t="str">
        <f t="shared" si="26"/>
        <v/>
      </c>
    </row>
    <row r="779" spans="11:11" customFormat="1">
      <c r="K779" s="31" t="str">
        <f t="shared" si="26"/>
        <v/>
      </c>
    </row>
    <row r="780" spans="11:11" customFormat="1">
      <c r="K780" s="31" t="str">
        <f t="shared" si="26"/>
        <v/>
      </c>
    </row>
    <row r="781" spans="11:11" customFormat="1">
      <c r="K781" s="31" t="str">
        <f t="shared" si="26"/>
        <v/>
      </c>
    </row>
    <row r="782" spans="11:11" customFormat="1">
      <c r="K782" s="31" t="str">
        <f t="shared" si="26"/>
        <v/>
      </c>
    </row>
    <row r="783" spans="11:11" customFormat="1">
      <c r="K783" s="31" t="str">
        <f t="shared" si="26"/>
        <v/>
      </c>
    </row>
    <row r="784" spans="11:11" customFormat="1">
      <c r="K784" s="31" t="str">
        <f t="shared" si="26"/>
        <v/>
      </c>
    </row>
    <row r="785" spans="11:11" customFormat="1">
      <c r="K785" s="31" t="str">
        <f t="shared" si="26"/>
        <v/>
      </c>
    </row>
    <row r="786" spans="11:11" customFormat="1">
      <c r="K786" s="31" t="str">
        <f t="shared" si="26"/>
        <v/>
      </c>
    </row>
    <row r="787" spans="11:11" customFormat="1">
      <c r="K787" s="31" t="str">
        <f t="shared" si="26"/>
        <v/>
      </c>
    </row>
    <row r="788" spans="11:11" customFormat="1">
      <c r="K788" s="31" t="str">
        <f t="shared" si="26"/>
        <v/>
      </c>
    </row>
    <row r="789" spans="11:11" customFormat="1">
      <c r="K789" s="31" t="str">
        <f t="shared" si="26"/>
        <v/>
      </c>
    </row>
    <row r="790" spans="11:11" customFormat="1">
      <c r="K790" s="31" t="str">
        <f t="shared" si="26"/>
        <v/>
      </c>
    </row>
    <row r="791" spans="11:11" customFormat="1">
      <c r="K791" s="31" t="str">
        <f t="shared" si="26"/>
        <v/>
      </c>
    </row>
    <row r="792" spans="11:11" customFormat="1">
      <c r="K792" s="31" t="str">
        <f t="shared" si="26"/>
        <v/>
      </c>
    </row>
    <row r="793" spans="11:11" customFormat="1">
      <c r="K793" s="31" t="str">
        <f t="shared" si="26"/>
        <v/>
      </c>
    </row>
    <row r="794" spans="11:11" customFormat="1">
      <c r="K794" s="31" t="str">
        <f t="shared" si="26"/>
        <v/>
      </c>
    </row>
    <row r="795" spans="11:11" customFormat="1">
      <c r="K795" s="31" t="str">
        <f t="shared" si="26"/>
        <v/>
      </c>
    </row>
    <row r="796" spans="11:11" customFormat="1">
      <c r="K796" s="31" t="str">
        <f t="shared" si="26"/>
        <v/>
      </c>
    </row>
    <row r="797" spans="11:11" customFormat="1">
      <c r="K797" s="31" t="str">
        <f t="shared" si="26"/>
        <v/>
      </c>
    </row>
    <row r="798" spans="11:11" customFormat="1">
      <c r="K798" s="31" t="str">
        <f t="shared" si="26"/>
        <v/>
      </c>
    </row>
    <row r="799" spans="11:11" customFormat="1">
      <c r="K799" s="31" t="str">
        <f t="shared" si="26"/>
        <v/>
      </c>
    </row>
    <row r="800" spans="11:11" customFormat="1">
      <c r="K800" s="31" t="str">
        <f t="shared" si="26"/>
        <v/>
      </c>
    </row>
    <row r="801" spans="11:11" customFormat="1">
      <c r="K801" s="31" t="str">
        <f t="shared" si="26"/>
        <v/>
      </c>
    </row>
    <row r="802" spans="11:11" customFormat="1">
      <c r="K802" s="31" t="str">
        <f t="shared" si="26"/>
        <v/>
      </c>
    </row>
    <row r="803" spans="11:11" customFormat="1">
      <c r="K803" s="31" t="str">
        <f t="shared" si="26"/>
        <v/>
      </c>
    </row>
    <row r="804" spans="11:11" customFormat="1">
      <c r="K804" s="31" t="str">
        <f t="shared" si="26"/>
        <v/>
      </c>
    </row>
    <row r="805" spans="11:11" customFormat="1">
      <c r="K805" s="31" t="str">
        <f t="shared" si="26"/>
        <v/>
      </c>
    </row>
    <row r="806" spans="11:11" customFormat="1">
      <c r="K806" s="31" t="str">
        <f t="shared" si="26"/>
        <v/>
      </c>
    </row>
    <row r="807" spans="11:11" customFormat="1">
      <c r="K807" s="31" t="str">
        <f t="shared" si="26"/>
        <v/>
      </c>
    </row>
    <row r="808" spans="11:11" customFormat="1">
      <c r="K808" s="31" t="str">
        <f t="shared" si="26"/>
        <v/>
      </c>
    </row>
    <row r="809" spans="11:11" customFormat="1">
      <c r="K809" s="31" t="str">
        <f t="shared" si="26"/>
        <v/>
      </c>
    </row>
    <row r="810" spans="11:11" customFormat="1">
      <c r="K810" s="31" t="str">
        <f t="shared" si="26"/>
        <v/>
      </c>
    </row>
    <row r="811" spans="11:11" customFormat="1">
      <c r="K811" s="31" t="str">
        <f t="shared" si="26"/>
        <v/>
      </c>
    </row>
    <row r="812" spans="11:11" customFormat="1">
      <c r="K812" s="31" t="str">
        <f t="shared" si="26"/>
        <v/>
      </c>
    </row>
    <row r="813" spans="11:11" customFormat="1">
      <c r="K813" s="31" t="str">
        <f t="shared" si="26"/>
        <v/>
      </c>
    </row>
    <row r="814" spans="11:11" customFormat="1">
      <c r="K814" s="31" t="str">
        <f t="shared" si="26"/>
        <v/>
      </c>
    </row>
    <row r="815" spans="11:11" customFormat="1">
      <c r="K815" s="31" t="str">
        <f t="shared" si="26"/>
        <v/>
      </c>
    </row>
    <row r="816" spans="11:11" customFormat="1">
      <c r="K816" s="31" t="str">
        <f t="shared" si="26"/>
        <v/>
      </c>
    </row>
    <row r="817" spans="11:11" customFormat="1">
      <c r="K817" s="31" t="str">
        <f t="shared" si="26"/>
        <v/>
      </c>
    </row>
    <row r="818" spans="11:11" customFormat="1">
      <c r="K818" s="31" t="str">
        <f t="shared" si="26"/>
        <v/>
      </c>
    </row>
    <row r="819" spans="11:11" customFormat="1">
      <c r="K819" s="31" t="str">
        <f t="shared" si="26"/>
        <v/>
      </c>
    </row>
    <row r="820" spans="11:11" customFormat="1">
      <c r="K820" s="31" t="str">
        <f t="shared" si="26"/>
        <v/>
      </c>
    </row>
    <row r="821" spans="11:11" customFormat="1">
      <c r="K821" s="31" t="str">
        <f t="shared" si="26"/>
        <v/>
      </c>
    </row>
    <row r="822" spans="11:11" customFormat="1">
      <c r="K822" s="31" t="str">
        <f t="shared" si="26"/>
        <v/>
      </c>
    </row>
    <row r="823" spans="11:11" customFormat="1">
      <c r="K823" s="31" t="str">
        <f t="shared" si="26"/>
        <v/>
      </c>
    </row>
    <row r="824" spans="11:11" customFormat="1">
      <c r="K824" s="31" t="str">
        <f t="shared" si="26"/>
        <v/>
      </c>
    </row>
    <row r="825" spans="11:11" customFormat="1">
      <c r="K825" s="31" t="str">
        <f t="shared" si="26"/>
        <v/>
      </c>
    </row>
    <row r="826" spans="11:11" customFormat="1">
      <c r="K826" s="31" t="str">
        <f t="shared" si="26"/>
        <v/>
      </c>
    </row>
    <row r="827" spans="11:11" customFormat="1">
      <c r="K827" s="31" t="str">
        <f t="shared" si="26"/>
        <v/>
      </c>
    </row>
    <row r="828" spans="11:11" customFormat="1">
      <c r="K828" s="31" t="str">
        <f t="shared" si="26"/>
        <v/>
      </c>
    </row>
    <row r="829" spans="11:11" customFormat="1">
      <c r="K829" s="31" t="str">
        <f t="shared" si="26"/>
        <v/>
      </c>
    </row>
    <row r="830" spans="11:11" customFormat="1">
      <c r="K830" s="31" t="str">
        <f t="shared" si="26"/>
        <v/>
      </c>
    </row>
    <row r="831" spans="11:11" customFormat="1">
      <c r="K831" s="31" t="str">
        <f t="shared" si="26"/>
        <v/>
      </c>
    </row>
    <row r="832" spans="11:11" customFormat="1">
      <c r="K832" s="31" t="str">
        <f t="shared" si="26"/>
        <v/>
      </c>
    </row>
    <row r="833" spans="11:11" customFormat="1">
      <c r="K833" s="31" t="str">
        <f t="shared" si="26"/>
        <v/>
      </c>
    </row>
    <row r="834" spans="11:11" customFormat="1">
      <c r="K834" s="31" t="str">
        <f t="shared" si="26"/>
        <v/>
      </c>
    </row>
    <row r="835" spans="11:11" customFormat="1">
      <c r="K835" s="31" t="str">
        <f t="shared" si="26"/>
        <v/>
      </c>
    </row>
    <row r="836" spans="11:11" customFormat="1">
      <c r="K836" s="31" t="str">
        <f t="shared" si="26"/>
        <v/>
      </c>
    </row>
    <row r="837" spans="11:11" customFormat="1">
      <c r="K837" s="31" t="str">
        <f t="shared" si="26"/>
        <v/>
      </c>
    </row>
    <row r="838" spans="11:11" customFormat="1">
      <c r="K838" s="31" t="str">
        <f t="shared" si="26"/>
        <v/>
      </c>
    </row>
    <row r="839" spans="11:11" customFormat="1">
      <c r="K839" s="31" t="str">
        <f t="shared" si="26"/>
        <v/>
      </c>
    </row>
    <row r="840" spans="11:11" customFormat="1">
      <c r="K840" s="31" t="str">
        <f t="shared" ref="K840:K903" si="27">IF(K839="","",IF(K839=K839+J840-I840,"",K839+J840-I840))</f>
        <v/>
      </c>
    </row>
    <row r="841" spans="11:11" customFormat="1">
      <c r="K841" s="31" t="str">
        <f t="shared" si="27"/>
        <v/>
      </c>
    </row>
    <row r="842" spans="11:11" customFormat="1">
      <c r="K842" s="31" t="str">
        <f t="shared" si="27"/>
        <v/>
      </c>
    </row>
    <row r="843" spans="11:11" customFormat="1">
      <c r="K843" s="31" t="str">
        <f t="shared" si="27"/>
        <v/>
      </c>
    </row>
    <row r="844" spans="11:11" customFormat="1">
      <c r="K844" s="31" t="str">
        <f t="shared" si="27"/>
        <v/>
      </c>
    </row>
    <row r="845" spans="11:11" customFormat="1">
      <c r="K845" s="31" t="str">
        <f t="shared" si="27"/>
        <v/>
      </c>
    </row>
    <row r="846" spans="11:11" customFormat="1">
      <c r="K846" s="31" t="str">
        <f t="shared" si="27"/>
        <v/>
      </c>
    </row>
    <row r="847" spans="11:11" customFormat="1">
      <c r="K847" s="31" t="str">
        <f t="shared" si="27"/>
        <v/>
      </c>
    </row>
    <row r="848" spans="11:11" customFormat="1">
      <c r="K848" s="31" t="str">
        <f t="shared" si="27"/>
        <v/>
      </c>
    </row>
    <row r="849" spans="11:11" customFormat="1">
      <c r="K849" s="31" t="str">
        <f t="shared" si="27"/>
        <v/>
      </c>
    </row>
    <row r="850" spans="11:11" customFormat="1">
      <c r="K850" s="31" t="str">
        <f t="shared" si="27"/>
        <v/>
      </c>
    </row>
    <row r="851" spans="11:11" customFormat="1">
      <c r="K851" s="31" t="str">
        <f t="shared" si="27"/>
        <v/>
      </c>
    </row>
    <row r="852" spans="11:11" customFormat="1">
      <c r="K852" s="31" t="str">
        <f t="shared" si="27"/>
        <v/>
      </c>
    </row>
    <row r="853" spans="11:11" customFormat="1">
      <c r="K853" s="31" t="str">
        <f t="shared" si="27"/>
        <v/>
      </c>
    </row>
    <row r="854" spans="11:11" customFormat="1">
      <c r="K854" s="31" t="str">
        <f t="shared" si="27"/>
        <v/>
      </c>
    </row>
    <row r="855" spans="11:11" customFormat="1">
      <c r="K855" s="31" t="str">
        <f t="shared" si="27"/>
        <v/>
      </c>
    </row>
    <row r="856" spans="11:11" customFormat="1">
      <c r="K856" s="31" t="str">
        <f t="shared" si="27"/>
        <v/>
      </c>
    </row>
    <row r="857" spans="11:11" customFormat="1">
      <c r="K857" s="31" t="str">
        <f t="shared" si="27"/>
        <v/>
      </c>
    </row>
    <row r="858" spans="11:11" customFormat="1">
      <c r="K858" s="31" t="str">
        <f t="shared" si="27"/>
        <v/>
      </c>
    </row>
    <row r="859" spans="11:11" customFormat="1">
      <c r="K859" s="31" t="str">
        <f t="shared" si="27"/>
        <v/>
      </c>
    </row>
    <row r="860" spans="11:11" customFormat="1">
      <c r="K860" s="31" t="str">
        <f t="shared" si="27"/>
        <v/>
      </c>
    </row>
    <row r="861" spans="11:11" customFormat="1">
      <c r="K861" s="31" t="str">
        <f t="shared" si="27"/>
        <v/>
      </c>
    </row>
    <row r="862" spans="11:11" customFormat="1">
      <c r="K862" s="31" t="str">
        <f t="shared" si="27"/>
        <v/>
      </c>
    </row>
    <row r="863" spans="11:11" customFormat="1">
      <c r="K863" s="31" t="str">
        <f t="shared" si="27"/>
        <v/>
      </c>
    </row>
    <row r="864" spans="11:11" customFormat="1">
      <c r="K864" s="31" t="str">
        <f t="shared" si="27"/>
        <v/>
      </c>
    </row>
    <row r="865" spans="11:11" customFormat="1">
      <c r="K865" s="31" t="str">
        <f t="shared" si="27"/>
        <v/>
      </c>
    </row>
    <row r="866" spans="11:11" customFormat="1">
      <c r="K866" s="31" t="str">
        <f t="shared" si="27"/>
        <v/>
      </c>
    </row>
    <row r="867" spans="11:11" customFormat="1">
      <c r="K867" s="31" t="str">
        <f t="shared" si="27"/>
        <v/>
      </c>
    </row>
    <row r="868" spans="11:11" customFormat="1">
      <c r="K868" s="31" t="str">
        <f t="shared" si="27"/>
        <v/>
      </c>
    </row>
    <row r="869" spans="11:11" customFormat="1">
      <c r="K869" s="31" t="str">
        <f t="shared" si="27"/>
        <v/>
      </c>
    </row>
    <row r="870" spans="11:11" customFormat="1">
      <c r="K870" s="31" t="str">
        <f t="shared" si="27"/>
        <v/>
      </c>
    </row>
    <row r="871" spans="11:11" customFormat="1">
      <c r="K871" s="31" t="str">
        <f t="shared" si="27"/>
        <v/>
      </c>
    </row>
    <row r="872" spans="11:11" customFormat="1">
      <c r="K872" s="31" t="str">
        <f t="shared" si="27"/>
        <v/>
      </c>
    </row>
    <row r="873" spans="11:11" customFormat="1">
      <c r="K873" s="31" t="str">
        <f t="shared" si="27"/>
        <v/>
      </c>
    </row>
    <row r="874" spans="11:11" customFormat="1">
      <c r="K874" s="31" t="str">
        <f t="shared" si="27"/>
        <v/>
      </c>
    </row>
    <row r="875" spans="11:11" customFormat="1">
      <c r="K875" s="31" t="str">
        <f t="shared" si="27"/>
        <v/>
      </c>
    </row>
    <row r="876" spans="11:11" customFormat="1">
      <c r="K876" s="31" t="str">
        <f t="shared" si="27"/>
        <v/>
      </c>
    </row>
    <row r="877" spans="11:11" customFormat="1">
      <c r="K877" s="31" t="str">
        <f t="shared" si="27"/>
        <v/>
      </c>
    </row>
    <row r="878" spans="11:11" customFormat="1">
      <c r="K878" s="31" t="str">
        <f t="shared" si="27"/>
        <v/>
      </c>
    </row>
    <row r="879" spans="11:11" customFormat="1">
      <c r="K879" s="31" t="str">
        <f t="shared" si="27"/>
        <v/>
      </c>
    </row>
    <row r="880" spans="11:11" customFormat="1">
      <c r="K880" s="31" t="str">
        <f t="shared" si="27"/>
        <v/>
      </c>
    </row>
    <row r="881" spans="11:11" customFormat="1">
      <c r="K881" s="31" t="str">
        <f t="shared" si="27"/>
        <v/>
      </c>
    </row>
    <row r="882" spans="11:11" customFormat="1">
      <c r="K882" s="31" t="str">
        <f t="shared" si="27"/>
        <v/>
      </c>
    </row>
    <row r="883" spans="11:11" customFormat="1">
      <c r="K883" s="31" t="str">
        <f t="shared" si="27"/>
        <v/>
      </c>
    </row>
    <row r="884" spans="11:11" customFormat="1">
      <c r="K884" s="31" t="str">
        <f t="shared" si="27"/>
        <v/>
      </c>
    </row>
    <row r="885" spans="11:11" customFormat="1">
      <c r="K885" s="31" t="str">
        <f t="shared" si="27"/>
        <v/>
      </c>
    </row>
    <row r="886" spans="11:11" customFormat="1">
      <c r="K886" s="31" t="str">
        <f t="shared" si="27"/>
        <v/>
      </c>
    </row>
    <row r="887" spans="11:11" customFormat="1">
      <c r="K887" s="31" t="str">
        <f t="shared" si="27"/>
        <v/>
      </c>
    </row>
    <row r="888" spans="11:11" customFormat="1">
      <c r="K888" s="31" t="str">
        <f t="shared" si="27"/>
        <v/>
      </c>
    </row>
    <row r="889" spans="11:11" customFormat="1">
      <c r="K889" s="31" t="str">
        <f t="shared" si="27"/>
        <v/>
      </c>
    </row>
    <row r="890" spans="11:11" customFormat="1">
      <c r="K890" s="31" t="str">
        <f t="shared" si="27"/>
        <v/>
      </c>
    </row>
    <row r="891" spans="11:11" customFormat="1">
      <c r="K891" s="31" t="str">
        <f t="shared" si="27"/>
        <v/>
      </c>
    </row>
    <row r="892" spans="11:11" customFormat="1">
      <c r="K892" s="31" t="str">
        <f t="shared" si="27"/>
        <v/>
      </c>
    </row>
    <row r="893" spans="11:11" customFormat="1">
      <c r="K893" s="31" t="str">
        <f t="shared" si="27"/>
        <v/>
      </c>
    </row>
    <row r="894" spans="11:11" customFormat="1">
      <c r="K894" s="31" t="str">
        <f t="shared" si="27"/>
        <v/>
      </c>
    </row>
    <row r="895" spans="11:11" customFormat="1">
      <c r="K895" s="31" t="str">
        <f t="shared" si="27"/>
        <v/>
      </c>
    </row>
    <row r="896" spans="11:11" customFormat="1">
      <c r="K896" s="31" t="str">
        <f t="shared" si="27"/>
        <v/>
      </c>
    </row>
    <row r="897" spans="11:11" customFormat="1">
      <c r="K897" s="31" t="str">
        <f t="shared" si="27"/>
        <v/>
      </c>
    </row>
    <row r="898" spans="11:11" customFormat="1">
      <c r="K898" s="31" t="str">
        <f t="shared" si="27"/>
        <v/>
      </c>
    </row>
    <row r="899" spans="11:11" customFormat="1">
      <c r="K899" s="31" t="str">
        <f t="shared" si="27"/>
        <v/>
      </c>
    </row>
    <row r="900" spans="11:11" customFormat="1">
      <c r="K900" s="31" t="str">
        <f t="shared" si="27"/>
        <v/>
      </c>
    </row>
    <row r="901" spans="11:11" customFormat="1">
      <c r="K901" s="31" t="str">
        <f t="shared" si="27"/>
        <v/>
      </c>
    </row>
    <row r="902" spans="11:11" customFormat="1">
      <c r="K902" s="31" t="str">
        <f t="shared" si="27"/>
        <v/>
      </c>
    </row>
    <row r="903" spans="11:11" customFormat="1">
      <c r="K903" s="31" t="str">
        <f t="shared" si="27"/>
        <v/>
      </c>
    </row>
    <row r="904" spans="11:11" customFormat="1">
      <c r="K904" s="31" t="str">
        <f t="shared" ref="K904:K967" si="28">IF(K903="","",IF(K903=K903+J904-I904,"",K903+J904-I904))</f>
        <v/>
      </c>
    </row>
    <row r="905" spans="11:11" customFormat="1">
      <c r="K905" s="31" t="str">
        <f t="shared" si="28"/>
        <v/>
      </c>
    </row>
    <row r="906" spans="11:11" customFormat="1">
      <c r="K906" s="31" t="str">
        <f t="shared" si="28"/>
        <v/>
      </c>
    </row>
    <row r="907" spans="11:11" customFormat="1">
      <c r="K907" s="31" t="str">
        <f t="shared" si="28"/>
        <v/>
      </c>
    </row>
    <row r="908" spans="11:11" customFormat="1">
      <c r="K908" s="31" t="str">
        <f t="shared" si="28"/>
        <v/>
      </c>
    </row>
    <row r="909" spans="11:11" customFormat="1">
      <c r="K909" s="31" t="str">
        <f t="shared" si="28"/>
        <v/>
      </c>
    </row>
    <row r="910" spans="11:11" customFormat="1">
      <c r="K910" s="31" t="str">
        <f t="shared" si="28"/>
        <v/>
      </c>
    </row>
    <row r="911" spans="11:11" customFormat="1">
      <c r="K911" s="31" t="str">
        <f t="shared" si="28"/>
        <v/>
      </c>
    </row>
    <row r="912" spans="11:11" customFormat="1">
      <c r="K912" s="31" t="str">
        <f t="shared" si="28"/>
        <v/>
      </c>
    </row>
    <row r="913" spans="11:11" customFormat="1">
      <c r="K913" s="31" t="str">
        <f t="shared" si="28"/>
        <v/>
      </c>
    </row>
    <row r="914" spans="11:11" customFormat="1">
      <c r="K914" s="31" t="str">
        <f t="shared" si="28"/>
        <v/>
      </c>
    </row>
    <row r="915" spans="11:11" customFormat="1">
      <c r="K915" s="31" t="str">
        <f t="shared" si="28"/>
        <v/>
      </c>
    </row>
    <row r="916" spans="11:11" customFormat="1">
      <c r="K916" s="31" t="str">
        <f t="shared" si="28"/>
        <v/>
      </c>
    </row>
    <row r="917" spans="11:11" customFormat="1">
      <c r="K917" s="31" t="str">
        <f t="shared" si="28"/>
        <v/>
      </c>
    </row>
    <row r="918" spans="11:11" customFormat="1">
      <c r="K918" s="31" t="str">
        <f t="shared" si="28"/>
        <v/>
      </c>
    </row>
    <row r="919" spans="11:11" customFormat="1">
      <c r="K919" s="31" t="str">
        <f t="shared" si="28"/>
        <v/>
      </c>
    </row>
    <row r="920" spans="11:11" customFormat="1">
      <c r="K920" s="31" t="str">
        <f t="shared" si="28"/>
        <v/>
      </c>
    </row>
    <row r="921" spans="11:11" customFormat="1">
      <c r="K921" s="31" t="str">
        <f t="shared" si="28"/>
        <v/>
      </c>
    </row>
    <row r="922" spans="11:11" customFormat="1">
      <c r="K922" s="31" t="str">
        <f t="shared" si="28"/>
        <v/>
      </c>
    </row>
    <row r="923" spans="11:11" customFormat="1">
      <c r="K923" s="31" t="str">
        <f t="shared" si="28"/>
        <v/>
      </c>
    </row>
    <row r="924" spans="11:11" customFormat="1">
      <c r="K924" s="31" t="str">
        <f t="shared" si="28"/>
        <v/>
      </c>
    </row>
    <row r="925" spans="11:11" customFormat="1">
      <c r="K925" s="31" t="str">
        <f t="shared" si="28"/>
        <v/>
      </c>
    </row>
    <row r="926" spans="11:11" customFormat="1">
      <c r="K926" s="31" t="str">
        <f t="shared" si="28"/>
        <v/>
      </c>
    </row>
    <row r="927" spans="11:11" customFormat="1">
      <c r="K927" s="31" t="str">
        <f t="shared" si="28"/>
        <v/>
      </c>
    </row>
    <row r="928" spans="11:11" customFormat="1">
      <c r="K928" s="31" t="str">
        <f t="shared" si="28"/>
        <v/>
      </c>
    </row>
    <row r="929" spans="11:11" customFormat="1">
      <c r="K929" s="31" t="str">
        <f t="shared" si="28"/>
        <v/>
      </c>
    </row>
    <row r="930" spans="11:11" customFormat="1">
      <c r="K930" s="31" t="str">
        <f t="shared" si="28"/>
        <v/>
      </c>
    </row>
    <row r="931" spans="11:11" customFormat="1">
      <c r="K931" s="31" t="str">
        <f t="shared" si="28"/>
        <v/>
      </c>
    </row>
    <row r="932" spans="11:11" customFormat="1">
      <c r="K932" s="31" t="str">
        <f t="shared" si="28"/>
        <v/>
      </c>
    </row>
    <row r="933" spans="11:11" customFormat="1">
      <c r="K933" s="31" t="str">
        <f t="shared" si="28"/>
        <v/>
      </c>
    </row>
    <row r="934" spans="11:11" customFormat="1">
      <c r="K934" s="31" t="str">
        <f t="shared" si="28"/>
        <v/>
      </c>
    </row>
    <row r="935" spans="11:11" customFormat="1">
      <c r="K935" s="31" t="str">
        <f t="shared" si="28"/>
        <v/>
      </c>
    </row>
    <row r="936" spans="11:11" customFormat="1">
      <c r="K936" s="31" t="str">
        <f t="shared" si="28"/>
        <v/>
      </c>
    </row>
    <row r="937" spans="11:11" customFormat="1">
      <c r="K937" s="31" t="str">
        <f t="shared" si="28"/>
        <v/>
      </c>
    </row>
    <row r="938" spans="11:11" customFormat="1">
      <c r="K938" s="31" t="str">
        <f t="shared" si="28"/>
        <v/>
      </c>
    </row>
    <row r="939" spans="11:11" customFormat="1">
      <c r="K939" s="31" t="str">
        <f t="shared" si="28"/>
        <v/>
      </c>
    </row>
    <row r="940" spans="11:11" customFormat="1">
      <c r="K940" s="31" t="str">
        <f t="shared" si="28"/>
        <v/>
      </c>
    </row>
    <row r="941" spans="11:11" customFormat="1">
      <c r="K941" s="31" t="str">
        <f t="shared" si="28"/>
        <v/>
      </c>
    </row>
    <row r="942" spans="11:11" customFormat="1">
      <c r="K942" s="31" t="str">
        <f t="shared" si="28"/>
        <v/>
      </c>
    </row>
    <row r="943" spans="11:11" customFormat="1">
      <c r="K943" s="31" t="str">
        <f t="shared" si="28"/>
        <v/>
      </c>
    </row>
    <row r="944" spans="11:11" customFormat="1">
      <c r="K944" s="31" t="str">
        <f t="shared" si="28"/>
        <v/>
      </c>
    </row>
    <row r="945" spans="11:11" customFormat="1">
      <c r="K945" s="31" t="str">
        <f t="shared" si="28"/>
        <v/>
      </c>
    </row>
    <row r="946" spans="11:11" customFormat="1">
      <c r="K946" s="31" t="str">
        <f t="shared" si="28"/>
        <v/>
      </c>
    </row>
    <row r="947" spans="11:11" customFormat="1">
      <c r="K947" s="31" t="str">
        <f t="shared" si="28"/>
        <v/>
      </c>
    </row>
    <row r="948" spans="11:11" customFormat="1">
      <c r="K948" s="31" t="str">
        <f t="shared" si="28"/>
        <v/>
      </c>
    </row>
    <row r="949" spans="11:11" customFormat="1">
      <c r="K949" s="31" t="str">
        <f t="shared" si="28"/>
        <v/>
      </c>
    </row>
    <row r="950" spans="11:11" customFormat="1">
      <c r="K950" s="31" t="str">
        <f t="shared" si="28"/>
        <v/>
      </c>
    </row>
    <row r="951" spans="11:11" customFormat="1">
      <c r="K951" s="31" t="str">
        <f t="shared" si="28"/>
        <v/>
      </c>
    </row>
    <row r="952" spans="11:11" customFormat="1">
      <c r="K952" s="31" t="str">
        <f t="shared" si="28"/>
        <v/>
      </c>
    </row>
    <row r="953" spans="11:11" customFormat="1">
      <c r="K953" s="31" t="str">
        <f t="shared" si="28"/>
        <v/>
      </c>
    </row>
    <row r="954" spans="11:11" customFormat="1">
      <c r="K954" s="31" t="str">
        <f t="shared" si="28"/>
        <v/>
      </c>
    </row>
    <row r="955" spans="11:11" customFormat="1">
      <c r="K955" s="31" t="str">
        <f t="shared" si="28"/>
        <v/>
      </c>
    </row>
    <row r="956" spans="11:11" customFormat="1">
      <c r="K956" s="31" t="str">
        <f t="shared" si="28"/>
        <v/>
      </c>
    </row>
    <row r="957" spans="11:11" customFormat="1">
      <c r="K957" s="31" t="str">
        <f t="shared" si="28"/>
        <v/>
      </c>
    </row>
    <row r="958" spans="11:11" customFormat="1">
      <c r="K958" s="31" t="str">
        <f t="shared" si="28"/>
        <v/>
      </c>
    </row>
    <row r="959" spans="11:11" customFormat="1">
      <c r="K959" s="31" t="str">
        <f t="shared" si="28"/>
        <v/>
      </c>
    </row>
    <row r="960" spans="11:11" customFormat="1">
      <c r="K960" s="31" t="str">
        <f t="shared" si="28"/>
        <v/>
      </c>
    </row>
    <row r="961" spans="11:11" customFormat="1">
      <c r="K961" s="31" t="str">
        <f t="shared" si="28"/>
        <v/>
      </c>
    </row>
    <row r="962" spans="11:11" customFormat="1">
      <c r="K962" s="31" t="str">
        <f t="shared" si="28"/>
        <v/>
      </c>
    </row>
    <row r="963" spans="11:11" customFormat="1">
      <c r="K963" s="31" t="str">
        <f t="shared" si="28"/>
        <v/>
      </c>
    </row>
    <row r="964" spans="11:11" customFormat="1">
      <c r="K964" s="31" t="str">
        <f t="shared" si="28"/>
        <v/>
      </c>
    </row>
    <row r="965" spans="11:11" customFormat="1">
      <c r="K965" s="31" t="str">
        <f t="shared" si="28"/>
        <v/>
      </c>
    </row>
    <row r="966" spans="11:11" customFormat="1">
      <c r="K966" s="31" t="str">
        <f t="shared" si="28"/>
        <v/>
      </c>
    </row>
    <row r="967" spans="11:11" customFormat="1">
      <c r="K967" s="31" t="str">
        <f t="shared" si="28"/>
        <v/>
      </c>
    </row>
    <row r="968" spans="11:11" customFormat="1">
      <c r="K968" s="31" t="str">
        <f t="shared" ref="K968:K1031" si="29">IF(K967="","",IF(K967=K967+J968-I968,"",K967+J968-I968))</f>
        <v/>
      </c>
    </row>
    <row r="969" spans="11:11" customFormat="1">
      <c r="K969" s="31" t="str">
        <f t="shared" si="29"/>
        <v/>
      </c>
    </row>
    <row r="970" spans="11:11" customFormat="1">
      <c r="K970" s="31" t="str">
        <f t="shared" si="29"/>
        <v/>
      </c>
    </row>
    <row r="971" spans="11:11" customFormat="1">
      <c r="K971" s="31" t="str">
        <f t="shared" si="29"/>
        <v/>
      </c>
    </row>
    <row r="972" spans="11:11" customFormat="1">
      <c r="K972" s="31" t="str">
        <f t="shared" si="29"/>
        <v/>
      </c>
    </row>
    <row r="973" spans="11:11" customFormat="1">
      <c r="K973" s="31" t="str">
        <f t="shared" si="29"/>
        <v/>
      </c>
    </row>
    <row r="974" spans="11:11" customFormat="1">
      <c r="K974" s="31" t="str">
        <f t="shared" si="29"/>
        <v/>
      </c>
    </row>
    <row r="975" spans="11:11" customFormat="1">
      <c r="K975" s="31" t="str">
        <f t="shared" si="29"/>
        <v/>
      </c>
    </row>
    <row r="976" spans="11:11" customFormat="1">
      <c r="K976" s="31" t="str">
        <f t="shared" si="29"/>
        <v/>
      </c>
    </row>
    <row r="977" spans="11:11" customFormat="1">
      <c r="K977" s="31" t="str">
        <f t="shared" si="29"/>
        <v/>
      </c>
    </row>
    <row r="978" spans="11:11" customFormat="1">
      <c r="K978" s="31" t="str">
        <f t="shared" si="29"/>
        <v/>
      </c>
    </row>
    <row r="979" spans="11:11" customFormat="1">
      <c r="K979" s="31" t="str">
        <f t="shared" si="29"/>
        <v/>
      </c>
    </row>
    <row r="980" spans="11:11" customFormat="1">
      <c r="K980" s="31" t="str">
        <f t="shared" si="29"/>
        <v/>
      </c>
    </row>
    <row r="981" spans="11:11" customFormat="1">
      <c r="K981" s="31" t="str">
        <f t="shared" si="29"/>
        <v/>
      </c>
    </row>
    <row r="982" spans="11:11" customFormat="1">
      <c r="K982" s="31" t="str">
        <f t="shared" si="29"/>
        <v/>
      </c>
    </row>
    <row r="983" spans="11:11" customFormat="1">
      <c r="K983" s="31" t="str">
        <f t="shared" si="29"/>
        <v/>
      </c>
    </row>
    <row r="984" spans="11:11" customFormat="1">
      <c r="K984" s="31" t="str">
        <f t="shared" si="29"/>
        <v/>
      </c>
    </row>
    <row r="985" spans="11:11" customFormat="1">
      <c r="K985" s="31" t="str">
        <f t="shared" si="29"/>
        <v/>
      </c>
    </row>
    <row r="986" spans="11:11" customFormat="1">
      <c r="K986" s="31" t="str">
        <f t="shared" si="29"/>
        <v/>
      </c>
    </row>
    <row r="987" spans="11:11" customFormat="1">
      <c r="K987" s="31" t="str">
        <f t="shared" si="29"/>
        <v/>
      </c>
    </row>
    <row r="988" spans="11:11" customFormat="1">
      <c r="K988" s="31" t="str">
        <f t="shared" si="29"/>
        <v/>
      </c>
    </row>
    <row r="989" spans="11:11" customFormat="1">
      <c r="K989" s="31" t="str">
        <f t="shared" si="29"/>
        <v/>
      </c>
    </row>
    <row r="990" spans="11:11" customFormat="1">
      <c r="K990" s="31" t="str">
        <f t="shared" si="29"/>
        <v/>
      </c>
    </row>
    <row r="991" spans="11:11" customFormat="1">
      <c r="K991" s="31" t="str">
        <f t="shared" si="29"/>
        <v/>
      </c>
    </row>
    <row r="992" spans="11:11" customFormat="1">
      <c r="K992" s="31" t="str">
        <f t="shared" si="29"/>
        <v/>
      </c>
    </row>
    <row r="993" spans="11:11" customFormat="1">
      <c r="K993" s="31" t="str">
        <f t="shared" si="29"/>
        <v/>
      </c>
    </row>
    <row r="994" spans="11:11" customFormat="1">
      <c r="K994" s="31" t="str">
        <f t="shared" si="29"/>
        <v/>
      </c>
    </row>
    <row r="995" spans="11:11" customFormat="1">
      <c r="K995" s="31" t="str">
        <f t="shared" si="29"/>
        <v/>
      </c>
    </row>
    <row r="996" spans="11:11" customFormat="1">
      <c r="K996" s="31" t="str">
        <f t="shared" si="29"/>
        <v/>
      </c>
    </row>
    <row r="997" spans="11:11" customFormat="1">
      <c r="K997" s="31" t="str">
        <f t="shared" si="29"/>
        <v/>
      </c>
    </row>
    <row r="998" spans="11:11" customFormat="1">
      <c r="K998" s="31" t="str">
        <f t="shared" si="29"/>
        <v/>
      </c>
    </row>
    <row r="999" spans="11:11" customFormat="1">
      <c r="K999" s="31" t="str">
        <f t="shared" si="29"/>
        <v/>
      </c>
    </row>
    <row r="1000" spans="11:11" customFormat="1">
      <c r="K1000" s="31" t="str">
        <f t="shared" si="29"/>
        <v/>
      </c>
    </row>
    <row r="1001" spans="11:11" customFormat="1">
      <c r="K1001" s="31" t="str">
        <f t="shared" si="29"/>
        <v/>
      </c>
    </row>
    <row r="1002" spans="11:11" customFormat="1">
      <c r="K1002" s="31" t="str">
        <f t="shared" si="29"/>
        <v/>
      </c>
    </row>
    <row r="1003" spans="11:11" customFormat="1">
      <c r="K1003" s="31" t="str">
        <f t="shared" si="29"/>
        <v/>
      </c>
    </row>
    <row r="1004" spans="11:11" customFormat="1">
      <c r="K1004" s="31" t="str">
        <f t="shared" si="29"/>
        <v/>
      </c>
    </row>
    <row r="1005" spans="11:11" customFormat="1">
      <c r="K1005" s="31" t="str">
        <f t="shared" si="29"/>
        <v/>
      </c>
    </row>
    <row r="1006" spans="11:11" customFormat="1">
      <c r="K1006" s="31" t="str">
        <f t="shared" si="29"/>
        <v/>
      </c>
    </row>
    <row r="1007" spans="11:11" customFormat="1">
      <c r="K1007" s="31" t="str">
        <f t="shared" si="29"/>
        <v/>
      </c>
    </row>
    <row r="1008" spans="11:11" customFormat="1">
      <c r="K1008" s="31" t="str">
        <f t="shared" si="29"/>
        <v/>
      </c>
    </row>
    <row r="1009" spans="11:11" customFormat="1">
      <c r="K1009" s="31" t="str">
        <f t="shared" si="29"/>
        <v/>
      </c>
    </row>
    <row r="1010" spans="11:11" customFormat="1">
      <c r="K1010" s="31" t="str">
        <f t="shared" si="29"/>
        <v/>
      </c>
    </row>
    <row r="1011" spans="11:11" customFormat="1">
      <c r="K1011" s="31" t="str">
        <f t="shared" si="29"/>
        <v/>
      </c>
    </row>
    <row r="1012" spans="11:11" customFormat="1">
      <c r="K1012" s="31" t="str">
        <f t="shared" si="29"/>
        <v/>
      </c>
    </row>
    <row r="1013" spans="11:11" customFormat="1">
      <c r="K1013" s="31" t="str">
        <f t="shared" si="29"/>
        <v/>
      </c>
    </row>
    <row r="1014" spans="11:11" customFormat="1">
      <c r="K1014" s="31" t="str">
        <f t="shared" si="29"/>
        <v/>
      </c>
    </row>
    <row r="1015" spans="11:11" customFormat="1">
      <c r="K1015" s="31" t="str">
        <f t="shared" si="29"/>
        <v/>
      </c>
    </row>
    <row r="1016" spans="11:11" customFormat="1">
      <c r="K1016" s="31" t="str">
        <f t="shared" si="29"/>
        <v/>
      </c>
    </row>
    <row r="1017" spans="11:11" customFormat="1">
      <c r="K1017" s="31" t="str">
        <f t="shared" si="29"/>
        <v/>
      </c>
    </row>
    <row r="1018" spans="11:11" customFormat="1">
      <c r="K1018" s="31" t="str">
        <f t="shared" si="29"/>
        <v/>
      </c>
    </row>
    <row r="1019" spans="11:11" customFormat="1">
      <c r="K1019" s="31" t="str">
        <f t="shared" si="29"/>
        <v/>
      </c>
    </row>
    <row r="1020" spans="11:11" customFormat="1">
      <c r="K1020" s="31" t="str">
        <f t="shared" si="29"/>
        <v/>
      </c>
    </row>
    <row r="1021" spans="11:11" customFormat="1">
      <c r="K1021" s="31" t="str">
        <f t="shared" si="29"/>
        <v/>
      </c>
    </row>
    <row r="1022" spans="11:11" customFormat="1">
      <c r="K1022" s="31" t="str">
        <f t="shared" si="29"/>
        <v/>
      </c>
    </row>
    <row r="1023" spans="11:11" customFormat="1">
      <c r="K1023" s="31" t="str">
        <f t="shared" si="29"/>
        <v/>
      </c>
    </row>
    <row r="1024" spans="11:11" customFormat="1">
      <c r="K1024" s="31" t="str">
        <f t="shared" si="29"/>
        <v/>
      </c>
    </row>
    <row r="1025" spans="11:11" customFormat="1">
      <c r="K1025" s="31" t="str">
        <f t="shared" si="29"/>
        <v/>
      </c>
    </row>
    <row r="1026" spans="11:11" customFormat="1">
      <c r="K1026" s="31" t="str">
        <f t="shared" si="29"/>
        <v/>
      </c>
    </row>
    <row r="1027" spans="11:11" customFormat="1">
      <c r="K1027" s="31" t="str">
        <f t="shared" si="29"/>
        <v/>
      </c>
    </row>
    <row r="1028" spans="11:11" customFormat="1">
      <c r="K1028" s="31" t="str">
        <f t="shared" si="29"/>
        <v/>
      </c>
    </row>
    <row r="1029" spans="11:11" customFormat="1">
      <c r="K1029" s="31" t="str">
        <f t="shared" si="29"/>
        <v/>
      </c>
    </row>
    <row r="1030" spans="11:11" customFormat="1">
      <c r="K1030" s="31" t="str">
        <f t="shared" si="29"/>
        <v/>
      </c>
    </row>
    <row r="1031" spans="11:11" customFormat="1">
      <c r="K1031" s="31" t="str">
        <f t="shared" si="29"/>
        <v/>
      </c>
    </row>
    <row r="1032" spans="11:11" customFormat="1">
      <c r="K1032" s="31" t="str">
        <f t="shared" ref="K1032:K1095" si="30">IF(K1031="","",IF(K1031=K1031+J1032-I1032,"",K1031+J1032-I1032))</f>
        <v/>
      </c>
    </row>
    <row r="1033" spans="11:11" customFormat="1">
      <c r="K1033" s="31" t="str">
        <f t="shared" si="30"/>
        <v/>
      </c>
    </row>
    <row r="1034" spans="11:11" customFormat="1">
      <c r="K1034" s="31" t="str">
        <f t="shared" si="30"/>
        <v/>
      </c>
    </row>
    <row r="1035" spans="11:11" customFormat="1">
      <c r="K1035" s="31" t="str">
        <f t="shared" si="30"/>
        <v/>
      </c>
    </row>
    <row r="1036" spans="11:11" customFormat="1">
      <c r="K1036" s="31" t="str">
        <f t="shared" si="30"/>
        <v/>
      </c>
    </row>
    <row r="1037" spans="11:11" customFormat="1">
      <c r="K1037" s="31" t="str">
        <f t="shared" si="30"/>
        <v/>
      </c>
    </row>
    <row r="1038" spans="11:11" customFormat="1">
      <c r="K1038" s="31" t="str">
        <f t="shared" si="30"/>
        <v/>
      </c>
    </row>
    <row r="1039" spans="11:11" customFormat="1">
      <c r="K1039" s="31" t="str">
        <f t="shared" si="30"/>
        <v/>
      </c>
    </row>
    <row r="1040" spans="11:11" customFormat="1">
      <c r="K1040" s="31" t="str">
        <f t="shared" si="30"/>
        <v/>
      </c>
    </row>
    <row r="1041" spans="11:11" customFormat="1">
      <c r="K1041" s="31" t="str">
        <f t="shared" si="30"/>
        <v/>
      </c>
    </row>
    <row r="1042" spans="11:11" customFormat="1">
      <c r="K1042" s="31" t="str">
        <f t="shared" si="30"/>
        <v/>
      </c>
    </row>
    <row r="1043" spans="11:11" customFormat="1">
      <c r="K1043" s="31" t="str">
        <f t="shared" si="30"/>
        <v/>
      </c>
    </row>
    <row r="1044" spans="11:11" customFormat="1">
      <c r="K1044" s="31" t="str">
        <f t="shared" si="30"/>
        <v/>
      </c>
    </row>
    <row r="1045" spans="11:11" customFormat="1">
      <c r="K1045" s="31" t="str">
        <f t="shared" si="30"/>
        <v/>
      </c>
    </row>
    <row r="1046" spans="11:11" customFormat="1">
      <c r="K1046" s="31" t="str">
        <f t="shared" si="30"/>
        <v/>
      </c>
    </row>
    <row r="1047" spans="11:11" customFormat="1">
      <c r="K1047" s="31" t="str">
        <f t="shared" si="30"/>
        <v/>
      </c>
    </row>
    <row r="1048" spans="11:11" customFormat="1">
      <c r="K1048" s="31" t="str">
        <f t="shared" si="30"/>
        <v/>
      </c>
    </row>
    <row r="1049" spans="11:11" customFormat="1">
      <c r="K1049" s="31" t="str">
        <f t="shared" si="30"/>
        <v/>
      </c>
    </row>
    <row r="1050" spans="11:11" customFormat="1">
      <c r="K1050" s="31" t="str">
        <f t="shared" si="30"/>
        <v/>
      </c>
    </row>
    <row r="1051" spans="11:11" customFormat="1">
      <c r="K1051" s="31" t="str">
        <f t="shared" si="30"/>
        <v/>
      </c>
    </row>
    <row r="1052" spans="11:11" customFormat="1">
      <c r="K1052" s="31" t="str">
        <f t="shared" si="30"/>
        <v/>
      </c>
    </row>
    <row r="1053" spans="11:11" customFormat="1">
      <c r="K1053" s="31" t="str">
        <f t="shared" si="30"/>
        <v/>
      </c>
    </row>
    <row r="1054" spans="11:11" customFormat="1">
      <c r="K1054" s="31" t="str">
        <f t="shared" si="30"/>
        <v/>
      </c>
    </row>
    <row r="1055" spans="11:11" customFormat="1">
      <c r="K1055" s="31" t="str">
        <f t="shared" si="30"/>
        <v/>
      </c>
    </row>
    <row r="1056" spans="11:11" customFormat="1">
      <c r="K1056" s="31" t="str">
        <f t="shared" si="30"/>
        <v/>
      </c>
    </row>
    <row r="1057" spans="11:11" customFormat="1">
      <c r="K1057" s="31" t="str">
        <f t="shared" si="30"/>
        <v/>
      </c>
    </row>
    <row r="1058" spans="11:11" customFormat="1">
      <c r="K1058" s="31" t="str">
        <f t="shared" si="30"/>
        <v/>
      </c>
    </row>
    <row r="1059" spans="11:11" customFormat="1">
      <c r="K1059" s="31" t="str">
        <f t="shared" si="30"/>
        <v/>
      </c>
    </row>
    <row r="1060" spans="11:11" customFormat="1">
      <c r="K1060" s="31" t="str">
        <f t="shared" si="30"/>
        <v/>
      </c>
    </row>
    <row r="1061" spans="11:11" customFormat="1">
      <c r="K1061" s="31" t="str">
        <f t="shared" si="30"/>
        <v/>
      </c>
    </row>
    <row r="1062" spans="11:11" customFormat="1">
      <c r="K1062" s="31" t="str">
        <f t="shared" si="30"/>
        <v/>
      </c>
    </row>
    <row r="1063" spans="11:11" customFormat="1">
      <c r="K1063" s="31" t="str">
        <f t="shared" si="30"/>
        <v/>
      </c>
    </row>
    <row r="1064" spans="11:11" customFormat="1">
      <c r="K1064" s="31" t="str">
        <f t="shared" si="30"/>
        <v/>
      </c>
    </row>
    <row r="1065" spans="11:11" customFormat="1">
      <c r="K1065" s="31" t="str">
        <f t="shared" si="30"/>
        <v/>
      </c>
    </row>
    <row r="1066" spans="11:11" customFormat="1">
      <c r="K1066" s="31" t="str">
        <f t="shared" si="30"/>
        <v/>
      </c>
    </row>
    <row r="1067" spans="11:11" customFormat="1">
      <c r="K1067" s="31" t="str">
        <f t="shared" si="30"/>
        <v/>
      </c>
    </row>
    <row r="1068" spans="11:11" customFormat="1">
      <c r="K1068" s="31" t="str">
        <f t="shared" si="30"/>
        <v/>
      </c>
    </row>
    <row r="1069" spans="11:11" customFormat="1">
      <c r="K1069" s="31" t="str">
        <f t="shared" si="30"/>
        <v/>
      </c>
    </row>
    <row r="1070" spans="11:11" customFormat="1">
      <c r="K1070" s="31" t="str">
        <f t="shared" si="30"/>
        <v/>
      </c>
    </row>
    <row r="1071" spans="11:11" customFormat="1">
      <c r="K1071" s="31" t="str">
        <f t="shared" si="30"/>
        <v/>
      </c>
    </row>
    <row r="1072" spans="11:11" customFormat="1">
      <c r="K1072" s="31" t="str">
        <f t="shared" si="30"/>
        <v/>
      </c>
    </row>
    <row r="1073" spans="11:11" customFormat="1">
      <c r="K1073" s="31" t="str">
        <f t="shared" si="30"/>
        <v/>
      </c>
    </row>
    <row r="1074" spans="11:11" customFormat="1">
      <c r="K1074" s="31" t="str">
        <f t="shared" si="30"/>
        <v/>
      </c>
    </row>
    <row r="1075" spans="11:11" customFormat="1">
      <c r="K1075" s="31" t="str">
        <f t="shared" si="30"/>
        <v/>
      </c>
    </row>
    <row r="1076" spans="11:11" customFormat="1">
      <c r="K1076" s="31" t="str">
        <f t="shared" si="30"/>
        <v/>
      </c>
    </row>
    <row r="1077" spans="11:11" customFormat="1">
      <c r="K1077" s="31" t="str">
        <f t="shared" si="30"/>
        <v/>
      </c>
    </row>
    <row r="1078" spans="11:11" customFormat="1">
      <c r="K1078" s="31" t="str">
        <f t="shared" si="30"/>
        <v/>
      </c>
    </row>
    <row r="1079" spans="11:11" customFormat="1">
      <c r="K1079" s="31" t="str">
        <f t="shared" si="30"/>
        <v/>
      </c>
    </row>
    <row r="1080" spans="11:11" customFormat="1">
      <c r="K1080" s="31" t="str">
        <f t="shared" si="30"/>
        <v/>
      </c>
    </row>
    <row r="1081" spans="11:11" customFormat="1">
      <c r="K1081" s="31" t="str">
        <f t="shared" si="30"/>
        <v/>
      </c>
    </row>
    <row r="1082" spans="11:11" customFormat="1">
      <c r="K1082" s="31" t="str">
        <f t="shared" si="30"/>
        <v/>
      </c>
    </row>
    <row r="1083" spans="11:11" customFormat="1">
      <c r="K1083" s="31" t="str">
        <f t="shared" si="30"/>
        <v/>
      </c>
    </row>
    <row r="1084" spans="11:11" customFormat="1">
      <c r="K1084" s="31" t="str">
        <f t="shared" si="30"/>
        <v/>
      </c>
    </row>
    <row r="1085" spans="11:11" customFormat="1">
      <c r="K1085" s="31" t="str">
        <f t="shared" si="30"/>
        <v/>
      </c>
    </row>
    <row r="1086" spans="11:11" customFormat="1">
      <c r="K1086" s="31" t="str">
        <f t="shared" si="30"/>
        <v/>
      </c>
    </row>
    <row r="1087" spans="11:11" customFormat="1">
      <c r="K1087" s="31" t="str">
        <f t="shared" si="30"/>
        <v/>
      </c>
    </row>
    <row r="1088" spans="11:11" customFormat="1">
      <c r="K1088" s="31" t="str">
        <f t="shared" si="30"/>
        <v/>
      </c>
    </row>
    <row r="1089" spans="11:11" customFormat="1">
      <c r="K1089" s="31" t="str">
        <f t="shared" si="30"/>
        <v/>
      </c>
    </row>
    <row r="1090" spans="11:11" customFormat="1">
      <c r="K1090" s="31" t="str">
        <f t="shared" si="30"/>
        <v/>
      </c>
    </row>
    <row r="1091" spans="11:11" customFormat="1">
      <c r="K1091" s="31" t="str">
        <f t="shared" si="30"/>
        <v/>
      </c>
    </row>
    <row r="1092" spans="11:11" customFormat="1">
      <c r="K1092" s="31" t="str">
        <f t="shared" si="30"/>
        <v/>
      </c>
    </row>
    <row r="1093" spans="11:11" customFormat="1">
      <c r="K1093" s="31" t="str">
        <f t="shared" si="30"/>
        <v/>
      </c>
    </row>
    <row r="1094" spans="11:11" customFormat="1">
      <c r="K1094" s="31" t="str">
        <f t="shared" si="30"/>
        <v/>
      </c>
    </row>
    <row r="1095" spans="11:11" customFormat="1">
      <c r="K1095" s="31" t="str">
        <f t="shared" si="30"/>
        <v/>
      </c>
    </row>
    <row r="1096" spans="11:11" customFormat="1">
      <c r="K1096" s="31" t="str">
        <f t="shared" ref="K1096:K1159" si="31">IF(K1095="","",IF(K1095=K1095+J1096-I1096,"",K1095+J1096-I1096))</f>
        <v/>
      </c>
    </row>
    <row r="1097" spans="11:11" customFormat="1">
      <c r="K1097" s="31" t="str">
        <f t="shared" si="31"/>
        <v/>
      </c>
    </row>
    <row r="1098" spans="11:11" customFormat="1">
      <c r="K1098" s="31" t="str">
        <f t="shared" si="31"/>
        <v/>
      </c>
    </row>
    <row r="1099" spans="11:11" customFormat="1">
      <c r="K1099" s="31" t="str">
        <f t="shared" si="31"/>
        <v/>
      </c>
    </row>
    <row r="1100" spans="11:11" customFormat="1">
      <c r="K1100" s="31" t="str">
        <f t="shared" si="31"/>
        <v/>
      </c>
    </row>
    <row r="1101" spans="11:11" customFormat="1">
      <c r="K1101" s="31" t="str">
        <f t="shared" si="31"/>
        <v/>
      </c>
    </row>
    <row r="1102" spans="11:11" customFormat="1">
      <c r="K1102" s="31" t="str">
        <f t="shared" si="31"/>
        <v/>
      </c>
    </row>
    <row r="1103" spans="11:11" customFormat="1">
      <c r="K1103" s="31" t="str">
        <f t="shared" si="31"/>
        <v/>
      </c>
    </row>
    <row r="1104" spans="11:11" customFormat="1">
      <c r="K1104" s="31" t="str">
        <f t="shared" si="31"/>
        <v/>
      </c>
    </row>
    <row r="1105" spans="11:11" customFormat="1">
      <c r="K1105" s="31" t="str">
        <f t="shared" si="31"/>
        <v/>
      </c>
    </row>
    <row r="1106" spans="11:11" customFormat="1">
      <c r="K1106" s="31" t="str">
        <f t="shared" si="31"/>
        <v/>
      </c>
    </row>
    <row r="1107" spans="11:11" customFormat="1">
      <c r="K1107" s="31" t="str">
        <f t="shared" si="31"/>
        <v/>
      </c>
    </row>
    <row r="1108" spans="11:11" customFormat="1">
      <c r="K1108" s="31" t="str">
        <f t="shared" si="31"/>
        <v/>
      </c>
    </row>
    <row r="1109" spans="11:11" customFormat="1">
      <c r="K1109" s="31" t="str">
        <f t="shared" si="31"/>
        <v/>
      </c>
    </row>
    <row r="1110" spans="11:11" customFormat="1">
      <c r="K1110" s="31" t="str">
        <f t="shared" si="31"/>
        <v/>
      </c>
    </row>
    <row r="1111" spans="11:11" customFormat="1">
      <c r="K1111" s="31" t="str">
        <f t="shared" si="31"/>
        <v/>
      </c>
    </row>
    <row r="1112" spans="11:11" customFormat="1">
      <c r="K1112" s="31" t="str">
        <f t="shared" si="31"/>
        <v/>
      </c>
    </row>
    <row r="1113" spans="11:11" customFormat="1">
      <c r="K1113" s="31" t="str">
        <f t="shared" si="31"/>
        <v/>
      </c>
    </row>
    <row r="1114" spans="11:11" customFormat="1">
      <c r="K1114" s="31" t="str">
        <f t="shared" si="31"/>
        <v/>
      </c>
    </row>
    <row r="1115" spans="11:11" customFormat="1">
      <c r="K1115" s="31" t="str">
        <f t="shared" si="31"/>
        <v/>
      </c>
    </row>
    <row r="1116" spans="11:11" customFormat="1">
      <c r="K1116" s="31" t="str">
        <f t="shared" si="31"/>
        <v/>
      </c>
    </row>
    <row r="1117" spans="11:11" customFormat="1">
      <c r="K1117" s="31" t="str">
        <f t="shared" si="31"/>
        <v/>
      </c>
    </row>
    <row r="1118" spans="11:11" customFormat="1">
      <c r="K1118" s="31" t="str">
        <f t="shared" si="31"/>
        <v/>
      </c>
    </row>
    <row r="1119" spans="11:11" customFormat="1">
      <c r="K1119" s="31" t="str">
        <f t="shared" si="31"/>
        <v/>
      </c>
    </row>
    <row r="1120" spans="11:11" customFormat="1">
      <c r="K1120" s="31" t="str">
        <f t="shared" si="31"/>
        <v/>
      </c>
    </row>
    <row r="1121" spans="11:11" customFormat="1">
      <c r="K1121" s="31" t="str">
        <f t="shared" si="31"/>
        <v/>
      </c>
    </row>
    <row r="1122" spans="11:11" customFormat="1">
      <c r="K1122" s="31" t="str">
        <f t="shared" si="31"/>
        <v/>
      </c>
    </row>
    <row r="1123" spans="11:11" customFormat="1">
      <c r="K1123" s="31" t="str">
        <f t="shared" si="31"/>
        <v/>
      </c>
    </row>
    <row r="1124" spans="11:11" customFormat="1">
      <c r="K1124" s="31" t="str">
        <f t="shared" si="31"/>
        <v/>
      </c>
    </row>
    <row r="1125" spans="11:11" customFormat="1">
      <c r="K1125" s="31" t="str">
        <f t="shared" si="31"/>
        <v/>
      </c>
    </row>
    <row r="1126" spans="11:11" customFormat="1">
      <c r="K1126" s="31" t="str">
        <f t="shared" si="31"/>
        <v/>
      </c>
    </row>
    <row r="1127" spans="11:11" customFormat="1">
      <c r="K1127" s="31" t="str">
        <f t="shared" si="31"/>
        <v/>
      </c>
    </row>
    <row r="1128" spans="11:11" customFormat="1">
      <c r="K1128" s="31" t="str">
        <f t="shared" si="31"/>
        <v/>
      </c>
    </row>
    <row r="1129" spans="11:11" customFormat="1">
      <c r="K1129" s="31" t="str">
        <f t="shared" si="31"/>
        <v/>
      </c>
    </row>
    <row r="1130" spans="11:11" customFormat="1">
      <c r="K1130" s="31" t="str">
        <f t="shared" si="31"/>
        <v/>
      </c>
    </row>
    <row r="1131" spans="11:11" customFormat="1">
      <c r="K1131" s="31" t="str">
        <f t="shared" si="31"/>
        <v/>
      </c>
    </row>
    <row r="1132" spans="11:11" customFormat="1">
      <c r="K1132" s="31" t="str">
        <f t="shared" si="31"/>
        <v/>
      </c>
    </row>
    <row r="1133" spans="11:11" customFormat="1">
      <c r="K1133" s="31" t="str">
        <f t="shared" si="31"/>
        <v/>
      </c>
    </row>
    <row r="1134" spans="11:11" customFormat="1">
      <c r="K1134" s="31" t="str">
        <f t="shared" si="31"/>
        <v/>
      </c>
    </row>
    <row r="1135" spans="11:11" customFormat="1">
      <c r="K1135" s="31" t="str">
        <f t="shared" si="31"/>
        <v/>
      </c>
    </row>
    <row r="1136" spans="11:11" customFormat="1">
      <c r="K1136" s="31" t="str">
        <f t="shared" si="31"/>
        <v/>
      </c>
    </row>
    <row r="1137" spans="11:11" customFormat="1">
      <c r="K1137" s="31" t="str">
        <f t="shared" si="31"/>
        <v/>
      </c>
    </row>
    <row r="1138" spans="11:11" customFormat="1">
      <c r="K1138" s="31" t="str">
        <f t="shared" si="31"/>
        <v/>
      </c>
    </row>
    <row r="1139" spans="11:11" customFormat="1">
      <c r="K1139" s="31" t="str">
        <f t="shared" si="31"/>
        <v/>
      </c>
    </row>
    <row r="1140" spans="11:11" customFormat="1">
      <c r="K1140" s="31" t="str">
        <f t="shared" si="31"/>
        <v/>
      </c>
    </row>
    <row r="1141" spans="11:11" customFormat="1">
      <c r="K1141" s="31" t="str">
        <f t="shared" si="31"/>
        <v/>
      </c>
    </row>
    <row r="1142" spans="11:11" customFormat="1">
      <c r="K1142" s="31" t="str">
        <f t="shared" si="31"/>
        <v/>
      </c>
    </row>
    <row r="1143" spans="11:11" customFormat="1">
      <c r="K1143" s="31" t="str">
        <f t="shared" si="31"/>
        <v/>
      </c>
    </row>
    <row r="1144" spans="11:11" customFormat="1">
      <c r="K1144" s="31" t="str">
        <f t="shared" si="31"/>
        <v/>
      </c>
    </row>
    <row r="1145" spans="11:11" customFormat="1">
      <c r="K1145" s="31" t="str">
        <f t="shared" si="31"/>
        <v/>
      </c>
    </row>
    <row r="1146" spans="11:11" customFormat="1">
      <c r="K1146" s="31" t="str">
        <f t="shared" si="31"/>
        <v/>
      </c>
    </row>
    <row r="1147" spans="11:11" customFormat="1">
      <c r="K1147" s="31" t="str">
        <f t="shared" si="31"/>
        <v/>
      </c>
    </row>
    <row r="1148" spans="11:11" customFormat="1">
      <c r="K1148" s="31" t="str">
        <f t="shared" si="31"/>
        <v/>
      </c>
    </row>
    <row r="1149" spans="11:11" customFormat="1">
      <c r="K1149" s="31" t="str">
        <f t="shared" si="31"/>
        <v/>
      </c>
    </row>
    <row r="1150" spans="11:11" customFormat="1">
      <c r="K1150" s="31" t="str">
        <f t="shared" si="31"/>
        <v/>
      </c>
    </row>
    <row r="1151" spans="11:11" customFormat="1">
      <c r="K1151" s="31" t="str">
        <f t="shared" si="31"/>
        <v/>
      </c>
    </row>
    <row r="1152" spans="11:11" customFormat="1">
      <c r="K1152" s="31" t="str">
        <f t="shared" si="31"/>
        <v/>
      </c>
    </row>
    <row r="1153" spans="11:11" customFormat="1">
      <c r="K1153" s="31" t="str">
        <f t="shared" si="31"/>
        <v/>
      </c>
    </row>
    <row r="1154" spans="11:11" customFormat="1">
      <c r="K1154" s="31" t="str">
        <f t="shared" si="31"/>
        <v/>
      </c>
    </row>
    <row r="1155" spans="11:11" customFormat="1">
      <c r="K1155" s="31" t="str">
        <f t="shared" si="31"/>
        <v/>
      </c>
    </row>
    <row r="1156" spans="11:11" customFormat="1">
      <c r="K1156" s="31" t="str">
        <f t="shared" si="31"/>
        <v/>
      </c>
    </row>
    <row r="1157" spans="11:11" customFormat="1">
      <c r="K1157" s="31" t="str">
        <f t="shared" si="31"/>
        <v/>
      </c>
    </row>
    <row r="1158" spans="11:11" customFormat="1">
      <c r="K1158" s="31" t="str">
        <f t="shared" si="31"/>
        <v/>
      </c>
    </row>
    <row r="1159" spans="11:11" customFormat="1">
      <c r="K1159" s="31" t="str">
        <f t="shared" si="31"/>
        <v/>
      </c>
    </row>
    <row r="1160" spans="11:11" customFormat="1">
      <c r="K1160" s="31" t="str">
        <f t="shared" ref="K1160:K1223" si="32">IF(K1159="","",IF(K1159=K1159+J1160-I1160,"",K1159+J1160-I1160))</f>
        <v/>
      </c>
    </row>
    <row r="1161" spans="11:11" customFormat="1">
      <c r="K1161" s="31" t="str">
        <f t="shared" si="32"/>
        <v/>
      </c>
    </row>
    <row r="1162" spans="11:11" customFormat="1">
      <c r="K1162" s="31" t="str">
        <f t="shared" si="32"/>
        <v/>
      </c>
    </row>
    <row r="1163" spans="11:11" customFormat="1">
      <c r="K1163" s="31" t="str">
        <f t="shared" si="32"/>
        <v/>
      </c>
    </row>
    <row r="1164" spans="11:11" customFormat="1">
      <c r="K1164" s="31" t="str">
        <f t="shared" si="32"/>
        <v/>
      </c>
    </row>
    <row r="1165" spans="11:11" customFormat="1">
      <c r="K1165" s="31" t="str">
        <f t="shared" si="32"/>
        <v/>
      </c>
    </row>
    <row r="1166" spans="11:11" customFormat="1">
      <c r="K1166" s="31" t="str">
        <f t="shared" si="32"/>
        <v/>
      </c>
    </row>
    <row r="1167" spans="11:11" customFormat="1">
      <c r="K1167" s="31" t="str">
        <f t="shared" si="32"/>
        <v/>
      </c>
    </row>
    <row r="1168" spans="11:11" customFormat="1">
      <c r="K1168" s="31" t="str">
        <f t="shared" si="32"/>
        <v/>
      </c>
    </row>
    <row r="1169" spans="11:11" customFormat="1">
      <c r="K1169" s="31" t="str">
        <f t="shared" si="32"/>
        <v/>
      </c>
    </row>
    <row r="1170" spans="11:11" customFormat="1">
      <c r="K1170" s="31" t="str">
        <f t="shared" si="32"/>
        <v/>
      </c>
    </row>
    <row r="1171" spans="11:11" customFormat="1">
      <c r="K1171" s="31" t="str">
        <f t="shared" si="32"/>
        <v/>
      </c>
    </row>
    <row r="1172" spans="11:11" customFormat="1">
      <c r="K1172" s="31" t="str">
        <f t="shared" si="32"/>
        <v/>
      </c>
    </row>
    <row r="1173" spans="11:11" customFormat="1">
      <c r="K1173" s="31" t="str">
        <f t="shared" si="32"/>
        <v/>
      </c>
    </row>
    <row r="1174" spans="11:11" customFormat="1">
      <c r="K1174" s="31" t="str">
        <f t="shared" si="32"/>
        <v/>
      </c>
    </row>
    <row r="1175" spans="11:11" customFormat="1">
      <c r="K1175" s="31" t="str">
        <f t="shared" si="32"/>
        <v/>
      </c>
    </row>
    <row r="1176" spans="11:11" customFormat="1">
      <c r="K1176" s="31" t="str">
        <f t="shared" si="32"/>
        <v/>
      </c>
    </row>
    <row r="1177" spans="11:11" customFormat="1">
      <c r="K1177" s="31" t="str">
        <f t="shared" si="32"/>
        <v/>
      </c>
    </row>
    <row r="1178" spans="11:11" customFormat="1">
      <c r="K1178" s="31" t="str">
        <f t="shared" si="32"/>
        <v/>
      </c>
    </row>
    <row r="1179" spans="11:11" customFormat="1">
      <c r="K1179" s="31" t="str">
        <f t="shared" si="32"/>
        <v/>
      </c>
    </row>
    <row r="1180" spans="11:11" customFormat="1">
      <c r="K1180" s="31" t="str">
        <f t="shared" si="32"/>
        <v/>
      </c>
    </row>
    <row r="1181" spans="11:11" customFormat="1">
      <c r="K1181" s="31" t="str">
        <f t="shared" si="32"/>
        <v/>
      </c>
    </row>
    <row r="1182" spans="11:11" customFormat="1">
      <c r="K1182" s="31" t="str">
        <f t="shared" si="32"/>
        <v/>
      </c>
    </row>
    <row r="1183" spans="11:11" customFormat="1">
      <c r="K1183" s="31" t="str">
        <f t="shared" si="32"/>
        <v/>
      </c>
    </row>
    <row r="1184" spans="11:11" customFormat="1">
      <c r="K1184" s="31" t="str">
        <f t="shared" si="32"/>
        <v/>
      </c>
    </row>
    <row r="1185" spans="11:11" customFormat="1">
      <c r="K1185" s="31" t="str">
        <f t="shared" si="32"/>
        <v/>
      </c>
    </row>
    <row r="1186" spans="11:11" customFormat="1">
      <c r="K1186" s="31" t="str">
        <f t="shared" si="32"/>
        <v/>
      </c>
    </row>
    <row r="1187" spans="11:11" customFormat="1">
      <c r="K1187" s="31" t="str">
        <f t="shared" si="32"/>
        <v/>
      </c>
    </row>
    <row r="1188" spans="11:11" customFormat="1">
      <c r="K1188" s="31" t="str">
        <f t="shared" si="32"/>
        <v/>
      </c>
    </row>
    <row r="1189" spans="11:11" customFormat="1">
      <c r="K1189" s="31" t="str">
        <f t="shared" si="32"/>
        <v/>
      </c>
    </row>
    <row r="1190" spans="11:11" customFormat="1">
      <c r="K1190" s="31" t="str">
        <f t="shared" si="32"/>
        <v/>
      </c>
    </row>
    <row r="1191" spans="11:11" customFormat="1">
      <c r="K1191" s="31" t="str">
        <f t="shared" si="32"/>
        <v/>
      </c>
    </row>
    <row r="1192" spans="11:11" customFormat="1">
      <c r="K1192" s="31" t="str">
        <f t="shared" si="32"/>
        <v/>
      </c>
    </row>
    <row r="1193" spans="11:11" customFormat="1">
      <c r="K1193" s="31" t="str">
        <f t="shared" si="32"/>
        <v/>
      </c>
    </row>
    <row r="1194" spans="11:11" customFormat="1">
      <c r="K1194" s="31" t="str">
        <f t="shared" si="32"/>
        <v/>
      </c>
    </row>
    <row r="1195" spans="11:11" customFormat="1">
      <c r="K1195" s="31" t="str">
        <f t="shared" si="32"/>
        <v/>
      </c>
    </row>
    <row r="1196" spans="11:11" customFormat="1">
      <c r="K1196" s="31" t="str">
        <f t="shared" si="32"/>
        <v/>
      </c>
    </row>
    <row r="1197" spans="11:11" customFormat="1">
      <c r="K1197" s="31" t="str">
        <f t="shared" si="32"/>
        <v/>
      </c>
    </row>
    <row r="1198" spans="11:11" customFormat="1">
      <c r="K1198" s="31" t="str">
        <f t="shared" si="32"/>
        <v/>
      </c>
    </row>
    <row r="1199" spans="11:11" customFormat="1">
      <c r="K1199" s="31" t="str">
        <f t="shared" si="32"/>
        <v/>
      </c>
    </row>
    <row r="1200" spans="11:11" customFormat="1">
      <c r="K1200" s="31" t="str">
        <f t="shared" si="32"/>
        <v/>
      </c>
    </row>
    <row r="1201" spans="11:11" customFormat="1">
      <c r="K1201" s="31" t="str">
        <f t="shared" si="32"/>
        <v/>
      </c>
    </row>
    <row r="1202" spans="11:11" customFormat="1">
      <c r="K1202" s="31" t="str">
        <f t="shared" si="32"/>
        <v/>
      </c>
    </row>
    <row r="1203" spans="11:11" customFormat="1">
      <c r="K1203" s="31" t="str">
        <f t="shared" si="32"/>
        <v/>
      </c>
    </row>
    <row r="1204" spans="11:11" customFormat="1">
      <c r="K1204" s="31" t="str">
        <f t="shared" si="32"/>
        <v/>
      </c>
    </row>
    <row r="1205" spans="11:11" customFormat="1">
      <c r="K1205" s="31" t="str">
        <f t="shared" si="32"/>
        <v/>
      </c>
    </row>
    <row r="1206" spans="11:11" customFormat="1">
      <c r="K1206" s="31" t="str">
        <f t="shared" si="32"/>
        <v/>
      </c>
    </row>
    <row r="1207" spans="11:11" customFormat="1">
      <c r="K1207" s="31" t="str">
        <f t="shared" si="32"/>
        <v/>
      </c>
    </row>
    <row r="1208" spans="11:11" customFormat="1">
      <c r="K1208" s="31" t="str">
        <f t="shared" si="32"/>
        <v/>
      </c>
    </row>
    <row r="1209" spans="11:11" customFormat="1">
      <c r="K1209" s="31" t="str">
        <f t="shared" si="32"/>
        <v/>
      </c>
    </row>
    <row r="1210" spans="11:11" customFormat="1">
      <c r="K1210" s="31" t="str">
        <f t="shared" si="32"/>
        <v/>
      </c>
    </row>
    <row r="1211" spans="11:11" customFormat="1">
      <c r="K1211" s="31" t="str">
        <f t="shared" si="32"/>
        <v/>
      </c>
    </row>
    <row r="1212" spans="11:11" customFormat="1">
      <c r="K1212" s="31" t="str">
        <f t="shared" si="32"/>
        <v/>
      </c>
    </row>
    <row r="1213" spans="11:11" customFormat="1">
      <c r="K1213" s="31" t="str">
        <f t="shared" si="32"/>
        <v/>
      </c>
    </row>
    <row r="1214" spans="11:11" customFormat="1">
      <c r="K1214" s="31" t="str">
        <f t="shared" si="32"/>
        <v/>
      </c>
    </row>
    <row r="1215" spans="11:11" customFormat="1">
      <c r="K1215" s="31" t="str">
        <f t="shared" si="32"/>
        <v/>
      </c>
    </row>
    <row r="1216" spans="11:11" customFormat="1">
      <c r="K1216" s="31" t="str">
        <f t="shared" si="32"/>
        <v/>
      </c>
    </row>
    <row r="1217" spans="11:11" customFormat="1">
      <c r="K1217" s="31" t="str">
        <f t="shared" si="32"/>
        <v/>
      </c>
    </row>
    <row r="1218" spans="11:11" customFormat="1">
      <c r="K1218" s="31" t="str">
        <f t="shared" si="32"/>
        <v/>
      </c>
    </row>
    <row r="1219" spans="11:11" customFormat="1">
      <c r="K1219" s="31" t="str">
        <f t="shared" si="32"/>
        <v/>
      </c>
    </row>
    <row r="1220" spans="11:11" customFormat="1">
      <c r="K1220" s="31" t="str">
        <f t="shared" si="32"/>
        <v/>
      </c>
    </row>
    <row r="1221" spans="11:11" customFormat="1">
      <c r="K1221" s="31" t="str">
        <f t="shared" si="32"/>
        <v/>
      </c>
    </row>
    <row r="1222" spans="11:11" customFormat="1">
      <c r="K1222" s="31" t="str">
        <f t="shared" si="32"/>
        <v/>
      </c>
    </row>
    <row r="1223" spans="11:11" customFormat="1">
      <c r="K1223" s="31" t="str">
        <f t="shared" si="32"/>
        <v/>
      </c>
    </row>
    <row r="1224" spans="11:11" customFormat="1">
      <c r="K1224" s="31" t="str">
        <f t="shared" ref="K1224:K1287" si="33">IF(K1223="","",IF(K1223=K1223+J1224-I1224,"",K1223+J1224-I1224))</f>
        <v/>
      </c>
    </row>
    <row r="1225" spans="11:11" customFormat="1">
      <c r="K1225" s="31" t="str">
        <f t="shared" si="33"/>
        <v/>
      </c>
    </row>
    <row r="1226" spans="11:11" customFormat="1">
      <c r="K1226" s="31" t="str">
        <f t="shared" si="33"/>
        <v/>
      </c>
    </row>
    <row r="1227" spans="11:11" customFormat="1">
      <c r="K1227" s="31" t="str">
        <f t="shared" si="33"/>
        <v/>
      </c>
    </row>
    <row r="1228" spans="11:11" customFormat="1">
      <c r="K1228" s="31" t="str">
        <f t="shared" si="33"/>
        <v/>
      </c>
    </row>
    <row r="1229" spans="11:11" customFormat="1">
      <c r="K1229" s="31" t="str">
        <f t="shared" si="33"/>
        <v/>
      </c>
    </row>
    <row r="1230" spans="11:11" customFormat="1">
      <c r="K1230" s="31" t="str">
        <f t="shared" si="33"/>
        <v/>
      </c>
    </row>
    <row r="1231" spans="11:11" customFormat="1">
      <c r="K1231" s="31" t="str">
        <f t="shared" si="33"/>
        <v/>
      </c>
    </row>
    <row r="1232" spans="11:11" customFormat="1">
      <c r="K1232" s="31" t="str">
        <f t="shared" si="33"/>
        <v/>
      </c>
    </row>
    <row r="1233" spans="11:11" customFormat="1">
      <c r="K1233" s="31" t="str">
        <f t="shared" si="33"/>
        <v/>
      </c>
    </row>
    <row r="1234" spans="11:11" customFormat="1">
      <c r="K1234" s="31" t="str">
        <f t="shared" si="33"/>
        <v/>
      </c>
    </row>
    <row r="1235" spans="11:11" customFormat="1">
      <c r="K1235" s="31" t="str">
        <f t="shared" si="33"/>
        <v/>
      </c>
    </row>
    <row r="1236" spans="11:11" customFormat="1">
      <c r="K1236" s="31" t="str">
        <f t="shared" si="33"/>
        <v/>
      </c>
    </row>
    <row r="1237" spans="11:11" customFormat="1">
      <c r="K1237" s="31" t="str">
        <f t="shared" si="33"/>
        <v/>
      </c>
    </row>
    <row r="1238" spans="11:11" customFormat="1">
      <c r="K1238" s="31" t="str">
        <f t="shared" si="33"/>
        <v/>
      </c>
    </row>
    <row r="1239" spans="11:11" customFormat="1">
      <c r="K1239" s="31" t="str">
        <f t="shared" si="33"/>
        <v/>
      </c>
    </row>
    <row r="1240" spans="11:11" customFormat="1">
      <c r="K1240" s="31" t="str">
        <f t="shared" si="33"/>
        <v/>
      </c>
    </row>
    <row r="1241" spans="11:11" customFormat="1">
      <c r="K1241" s="31" t="str">
        <f t="shared" si="33"/>
        <v/>
      </c>
    </row>
    <row r="1242" spans="11:11" customFormat="1">
      <c r="K1242" s="31" t="str">
        <f t="shared" si="33"/>
        <v/>
      </c>
    </row>
    <row r="1243" spans="11:11" customFormat="1">
      <c r="K1243" s="31" t="str">
        <f t="shared" si="33"/>
        <v/>
      </c>
    </row>
    <row r="1244" spans="11:11" customFormat="1">
      <c r="K1244" s="31" t="str">
        <f t="shared" si="33"/>
        <v/>
      </c>
    </row>
    <row r="1245" spans="11:11" customFormat="1">
      <c r="K1245" s="31" t="str">
        <f t="shared" si="33"/>
        <v/>
      </c>
    </row>
    <row r="1246" spans="11:11" customFormat="1">
      <c r="K1246" s="31" t="str">
        <f t="shared" si="33"/>
        <v/>
      </c>
    </row>
    <row r="1247" spans="11:11" customFormat="1">
      <c r="K1247" s="31" t="str">
        <f t="shared" si="33"/>
        <v/>
      </c>
    </row>
    <row r="1248" spans="11:11" customFormat="1">
      <c r="K1248" s="31" t="str">
        <f t="shared" si="33"/>
        <v/>
      </c>
    </row>
    <row r="1249" spans="11:11" customFormat="1">
      <c r="K1249" s="31" t="str">
        <f t="shared" si="33"/>
        <v/>
      </c>
    </row>
    <row r="1250" spans="11:11" customFormat="1">
      <c r="K1250" s="31" t="str">
        <f t="shared" si="33"/>
        <v/>
      </c>
    </row>
    <row r="1251" spans="11:11" customFormat="1">
      <c r="K1251" s="31" t="str">
        <f t="shared" si="33"/>
        <v/>
      </c>
    </row>
    <row r="1252" spans="11:11" customFormat="1">
      <c r="K1252" s="31" t="str">
        <f t="shared" si="33"/>
        <v/>
      </c>
    </row>
    <row r="1253" spans="11:11" customFormat="1">
      <c r="K1253" s="31" t="str">
        <f t="shared" si="33"/>
        <v/>
      </c>
    </row>
    <row r="1254" spans="11:11" customFormat="1">
      <c r="K1254" s="31" t="str">
        <f t="shared" si="33"/>
        <v/>
      </c>
    </row>
    <row r="1255" spans="11:11" customFormat="1">
      <c r="K1255" s="31" t="str">
        <f t="shared" si="33"/>
        <v/>
      </c>
    </row>
    <row r="1256" spans="11:11" customFormat="1">
      <c r="K1256" s="31" t="str">
        <f t="shared" si="33"/>
        <v/>
      </c>
    </row>
    <row r="1257" spans="11:11" customFormat="1">
      <c r="K1257" s="31" t="str">
        <f t="shared" si="33"/>
        <v/>
      </c>
    </row>
    <row r="1258" spans="11:11" customFormat="1">
      <c r="K1258" s="31" t="str">
        <f t="shared" si="33"/>
        <v/>
      </c>
    </row>
    <row r="1259" spans="11:11" customFormat="1">
      <c r="K1259" s="31" t="str">
        <f t="shared" si="33"/>
        <v/>
      </c>
    </row>
    <row r="1260" spans="11:11" customFormat="1">
      <c r="K1260" s="31" t="str">
        <f t="shared" si="33"/>
        <v/>
      </c>
    </row>
    <row r="1261" spans="11:11" customFormat="1">
      <c r="K1261" s="31" t="str">
        <f t="shared" si="33"/>
        <v/>
      </c>
    </row>
    <row r="1262" spans="11:11" customFormat="1">
      <c r="K1262" s="31" t="str">
        <f t="shared" si="33"/>
        <v/>
      </c>
    </row>
    <row r="1263" spans="11:11" customFormat="1">
      <c r="K1263" s="31" t="str">
        <f t="shared" si="33"/>
        <v/>
      </c>
    </row>
    <row r="1264" spans="11:11" customFormat="1">
      <c r="K1264" s="31" t="str">
        <f t="shared" si="33"/>
        <v/>
      </c>
    </row>
    <row r="1265" spans="11:11" customFormat="1">
      <c r="K1265" s="31" t="str">
        <f t="shared" si="33"/>
        <v/>
      </c>
    </row>
    <row r="1266" spans="11:11" customFormat="1">
      <c r="K1266" s="31" t="str">
        <f t="shared" si="33"/>
        <v/>
      </c>
    </row>
    <row r="1267" spans="11:11" customFormat="1">
      <c r="K1267" s="31" t="str">
        <f t="shared" si="33"/>
        <v/>
      </c>
    </row>
    <row r="1268" spans="11:11" customFormat="1">
      <c r="K1268" s="31" t="str">
        <f t="shared" si="33"/>
        <v/>
      </c>
    </row>
    <row r="1269" spans="11:11" customFormat="1">
      <c r="K1269" s="31" t="str">
        <f t="shared" si="33"/>
        <v/>
      </c>
    </row>
    <row r="1270" spans="11:11" customFormat="1">
      <c r="K1270" s="31" t="str">
        <f t="shared" si="33"/>
        <v/>
      </c>
    </row>
    <row r="1271" spans="11:11" customFormat="1">
      <c r="K1271" s="31" t="str">
        <f t="shared" si="33"/>
        <v/>
      </c>
    </row>
    <row r="1272" spans="11:11" customFormat="1">
      <c r="K1272" s="31" t="str">
        <f t="shared" si="33"/>
        <v/>
      </c>
    </row>
    <row r="1273" spans="11:11" customFormat="1">
      <c r="K1273" s="31" t="str">
        <f t="shared" si="33"/>
        <v/>
      </c>
    </row>
    <row r="1274" spans="11:11" customFormat="1">
      <c r="K1274" s="31" t="str">
        <f t="shared" si="33"/>
        <v/>
      </c>
    </row>
    <row r="1275" spans="11:11" customFormat="1">
      <c r="K1275" s="31" t="str">
        <f t="shared" si="33"/>
        <v/>
      </c>
    </row>
    <row r="1276" spans="11:11" customFormat="1">
      <c r="K1276" s="31" t="str">
        <f t="shared" si="33"/>
        <v/>
      </c>
    </row>
    <row r="1277" spans="11:11" customFormat="1">
      <c r="K1277" s="31" t="str">
        <f t="shared" si="33"/>
        <v/>
      </c>
    </row>
    <row r="1278" spans="11:11" customFormat="1">
      <c r="K1278" s="31" t="str">
        <f t="shared" si="33"/>
        <v/>
      </c>
    </row>
    <row r="1279" spans="11:11" customFormat="1">
      <c r="K1279" s="31" t="str">
        <f t="shared" si="33"/>
        <v/>
      </c>
    </row>
    <row r="1280" spans="11:11" customFormat="1">
      <c r="K1280" s="31" t="str">
        <f t="shared" si="33"/>
        <v/>
      </c>
    </row>
    <row r="1281" spans="11:11" customFormat="1">
      <c r="K1281" s="31" t="str">
        <f t="shared" si="33"/>
        <v/>
      </c>
    </row>
    <row r="1282" spans="11:11" customFormat="1">
      <c r="K1282" s="31" t="str">
        <f t="shared" si="33"/>
        <v/>
      </c>
    </row>
    <row r="1283" spans="11:11" customFormat="1">
      <c r="K1283" s="31" t="str">
        <f t="shared" si="33"/>
        <v/>
      </c>
    </row>
    <row r="1284" spans="11:11" customFormat="1">
      <c r="K1284" s="31" t="str">
        <f t="shared" si="33"/>
        <v/>
      </c>
    </row>
    <row r="1285" spans="11:11" customFormat="1">
      <c r="K1285" s="31" t="str">
        <f t="shared" si="33"/>
        <v/>
      </c>
    </row>
    <row r="1286" spans="11:11" customFormat="1">
      <c r="K1286" s="31" t="str">
        <f t="shared" si="33"/>
        <v/>
      </c>
    </row>
    <row r="1287" spans="11:11" customFormat="1">
      <c r="K1287" s="31" t="str">
        <f t="shared" si="33"/>
        <v/>
      </c>
    </row>
    <row r="1288" spans="11:11" customFormat="1">
      <c r="K1288" s="31" t="str">
        <f t="shared" ref="K1288:K1351" si="34">IF(K1287="","",IF(K1287=K1287+J1288-I1288,"",K1287+J1288-I1288))</f>
        <v/>
      </c>
    </row>
    <row r="1289" spans="11:11" customFormat="1">
      <c r="K1289" s="31" t="str">
        <f t="shared" si="34"/>
        <v/>
      </c>
    </row>
    <row r="1290" spans="11:11" customFormat="1">
      <c r="K1290" s="31" t="str">
        <f t="shared" si="34"/>
        <v/>
      </c>
    </row>
    <row r="1291" spans="11:11" customFormat="1">
      <c r="K1291" s="31" t="str">
        <f t="shared" si="34"/>
        <v/>
      </c>
    </row>
    <row r="1292" spans="11:11" customFormat="1">
      <c r="K1292" s="31" t="str">
        <f t="shared" si="34"/>
        <v/>
      </c>
    </row>
    <row r="1293" spans="11:11" customFormat="1">
      <c r="K1293" s="31" t="str">
        <f t="shared" si="34"/>
        <v/>
      </c>
    </row>
    <row r="1294" spans="11:11" customFormat="1">
      <c r="K1294" s="31" t="str">
        <f t="shared" si="34"/>
        <v/>
      </c>
    </row>
    <row r="1295" spans="11:11" customFormat="1">
      <c r="K1295" s="31" t="str">
        <f t="shared" si="34"/>
        <v/>
      </c>
    </row>
    <row r="1296" spans="11:11" customFormat="1">
      <c r="K1296" s="31" t="str">
        <f t="shared" si="34"/>
        <v/>
      </c>
    </row>
    <row r="1297" spans="11:11" customFormat="1">
      <c r="K1297" s="31" t="str">
        <f t="shared" si="34"/>
        <v/>
      </c>
    </row>
    <row r="1298" spans="11:11" customFormat="1">
      <c r="K1298" s="31" t="str">
        <f t="shared" si="34"/>
        <v/>
      </c>
    </row>
    <row r="1299" spans="11:11" customFormat="1">
      <c r="K1299" s="31" t="str">
        <f t="shared" si="34"/>
        <v/>
      </c>
    </row>
    <row r="1300" spans="11:11" customFormat="1">
      <c r="K1300" s="31" t="str">
        <f t="shared" si="34"/>
        <v/>
      </c>
    </row>
    <row r="1301" spans="11:11" customFormat="1">
      <c r="K1301" s="31" t="str">
        <f t="shared" si="34"/>
        <v/>
      </c>
    </row>
    <row r="1302" spans="11:11" customFormat="1">
      <c r="K1302" s="31" t="str">
        <f t="shared" si="34"/>
        <v/>
      </c>
    </row>
    <row r="1303" spans="11:11" customFormat="1">
      <c r="K1303" s="31" t="str">
        <f t="shared" si="34"/>
        <v/>
      </c>
    </row>
    <row r="1304" spans="11:11" customFormat="1">
      <c r="K1304" s="31" t="str">
        <f t="shared" si="34"/>
        <v/>
      </c>
    </row>
    <row r="1305" spans="11:11" customFormat="1">
      <c r="K1305" s="31" t="str">
        <f t="shared" si="34"/>
        <v/>
      </c>
    </row>
    <row r="1306" spans="11:11" customFormat="1">
      <c r="K1306" s="31" t="str">
        <f t="shared" si="34"/>
        <v/>
      </c>
    </row>
    <row r="1307" spans="11:11" customFormat="1">
      <c r="K1307" s="31" t="str">
        <f t="shared" si="34"/>
        <v/>
      </c>
    </row>
    <row r="1308" spans="11:11" customFormat="1">
      <c r="K1308" s="31" t="str">
        <f t="shared" si="34"/>
        <v/>
      </c>
    </row>
    <row r="1309" spans="11:11" customFormat="1">
      <c r="K1309" s="31" t="str">
        <f t="shared" si="34"/>
        <v/>
      </c>
    </row>
    <row r="1310" spans="11:11" customFormat="1">
      <c r="K1310" s="31" t="str">
        <f t="shared" si="34"/>
        <v/>
      </c>
    </row>
    <row r="1311" spans="11:11" customFormat="1">
      <c r="K1311" s="31" t="str">
        <f t="shared" si="34"/>
        <v/>
      </c>
    </row>
    <row r="1312" spans="11:11" customFormat="1">
      <c r="K1312" s="31" t="str">
        <f t="shared" si="34"/>
        <v/>
      </c>
    </row>
    <row r="1313" spans="11:11" customFormat="1">
      <c r="K1313" s="31" t="str">
        <f t="shared" si="34"/>
        <v/>
      </c>
    </row>
    <row r="1314" spans="11:11" customFormat="1">
      <c r="K1314" s="31" t="str">
        <f t="shared" si="34"/>
        <v/>
      </c>
    </row>
    <row r="1315" spans="11:11" customFormat="1">
      <c r="K1315" s="31" t="str">
        <f t="shared" si="34"/>
        <v/>
      </c>
    </row>
    <row r="1316" spans="11:11" customFormat="1">
      <c r="K1316" s="31" t="str">
        <f t="shared" si="34"/>
        <v/>
      </c>
    </row>
    <row r="1317" spans="11:11" customFormat="1">
      <c r="K1317" s="31" t="str">
        <f t="shared" si="34"/>
        <v/>
      </c>
    </row>
    <row r="1318" spans="11:11" customFormat="1">
      <c r="K1318" s="31" t="str">
        <f t="shared" si="34"/>
        <v/>
      </c>
    </row>
    <row r="1319" spans="11:11" customFormat="1">
      <c r="K1319" s="31" t="str">
        <f t="shared" si="34"/>
        <v/>
      </c>
    </row>
    <row r="1320" spans="11:11" customFormat="1">
      <c r="K1320" s="31" t="str">
        <f t="shared" si="34"/>
        <v/>
      </c>
    </row>
    <row r="1321" spans="11:11" customFormat="1">
      <c r="K1321" s="31" t="str">
        <f t="shared" si="34"/>
        <v/>
      </c>
    </row>
    <row r="1322" spans="11:11" customFormat="1">
      <c r="K1322" s="31" t="str">
        <f t="shared" si="34"/>
        <v/>
      </c>
    </row>
    <row r="1323" spans="11:11" customFormat="1">
      <c r="K1323" s="31" t="str">
        <f t="shared" si="34"/>
        <v/>
      </c>
    </row>
    <row r="1324" spans="11:11" customFormat="1">
      <c r="K1324" s="31" t="str">
        <f t="shared" si="34"/>
        <v/>
      </c>
    </row>
    <row r="1325" spans="11:11" customFormat="1">
      <c r="K1325" s="31" t="str">
        <f t="shared" si="34"/>
        <v/>
      </c>
    </row>
    <row r="1326" spans="11:11" customFormat="1">
      <c r="K1326" s="31" t="str">
        <f t="shared" si="34"/>
        <v/>
      </c>
    </row>
    <row r="1327" spans="11:11" customFormat="1">
      <c r="K1327" s="31" t="str">
        <f t="shared" si="34"/>
        <v/>
      </c>
    </row>
    <row r="1328" spans="11:11" customFormat="1">
      <c r="K1328" s="31" t="str">
        <f t="shared" si="34"/>
        <v/>
      </c>
    </row>
    <row r="1329" spans="11:11" customFormat="1">
      <c r="K1329" s="31" t="str">
        <f t="shared" si="34"/>
        <v/>
      </c>
    </row>
    <row r="1330" spans="11:11" customFormat="1">
      <c r="K1330" s="31" t="str">
        <f t="shared" si="34"/>
        <v/>
      </c>
    </row>
    <row r="1331" spans="11:11" customFormat="1">
      <c r="K1331" s="31" t="str">
        <f t="shared" si="34"/>
        <v/>
      </c>
    </row>
    <row r="1332" spans="11:11" customFormat="1">
      <c r="K1332" s="31" t="str">
        <f t="shared" si="34"/>
        <v/>
      </c>
    </row>
    <row r="1333" spans="11:11" customFormat="1">
      <c r="K1333" s="31" t="str">
        <f t="shared" si="34"/>
        <v/>
      </c>
    </row>
    <row r="1334" spans="11:11" customFormat="1">
      <c r="K1334" s="31" t="str">
        <f t="shared" si="34"/>
        <v/>
      </c>
    </row>
    <row r="1335" spans="11:11" customFormat="1">
      <c r="K1335" s="31" t="str">
        <f t="shared" si="34"/>
        <v/>
      </c>
    </row>
    <row r="1336" spans="11:11" customFormat="1">
      <c r="K1336" s="31" t="str">
        <f t="shared" si="34"/>
        <v/>
      </c>
    </row>
    <row r="1337" spans="11:11" customFormat="1">
      <c r="K1337" s="31" t="str">
        <f t="shared" si="34"/>
        <v/>
      </c>
    </row>
    <row r="1338" spans="11:11" customFormat="1">
      <c r="K1338" s="31" t="str">
        <f t="shared" si="34"/>
        <v/>
      </c>
    </row>
    <row r="1339" spans="11:11" customFormat="1">
      <c r="K1339" s="31" t="str">
        <f t="shared" si="34"/>
        <v/>
      </c>
    </row>
    <row r="1340" spans="11:11" customFormat="1">
      <c r="K1340" s="31" t="str">
        <f t="shared" si="34"/>
        <v/>
      </c>
    </row>
    <row r="1341" spans="11:11" customFormat="1">
      <c r="K1341" s="31" t="str">
        <f t="shared" si="34"/>
        <v/>
      </c>
    </row>
    <row r="1342" spans="11:11" customFormat="1">
      <c r="K1342" s="31" t="str">
        <f t="shared" si="34"/>
        <v/>
      </c>
    </row>
    <row r="1343" spans="11:11" customFormat="1">
      <c r="K1343" s="31" t="str">
        <f t="shared" si="34"/>
        <v/>
      </c>
    </row>
    <row r="1344" spans="11:11" customFormat="1">
      <c r="K1344" s="31" t="str">
        <f t="shared" si="34"/>
        <v/>
      </c>
    </row>
    <row r="1345" spans="11:11" customFormat="1">
      <c r="K1345" s="31" t="str">
        <f t="shared" si="34"/>
        <v/>
      </c>
    </row>
    <row r="1346" spans="11:11" customFormat="1">
      <c r="K1346" s="31" t="str">
        <f t="shared" si="34"/>
        <v/>
      </c>
    </row>
    <row r="1347" spans="11:11" customFormat="1">
      <c r="K1347" s="31" t="str">
        <f t="shared" si="34"/>
        <v/>
      </c>
    </row>
    <row r="1348" spans="11:11" customFormat="1">
      <c r="K1348" s="31" t="str">
        <f t="shared" si="34"/>
        <v/>
      </c>
    </row>
    <row r="1349" spans="11:11" customFormat="1">
      <c r="K1349" s="31" t="str">
        <f t="shared" si="34"/>
        <v/>
      </c>
    </row>
    <row r="1350" spans="11:11" customFormat="1">
      <c r="K1350" s="31" t="str">
        <f t="shared" si="34"/>
        <v/>
      </c>
    </row>
    <row r="1351" spans="11:11" customFormat="1">
      <c r="K1351" s="31" t="str">
        <f t="shared" si="34"/>
        <v/>
      </c>
    </row>
    <row r="1352" spans="11:11" customFormat="1">
      <c r="K1352" s="31" t="str">
        <f t="shared" ref="K1352:K1415" si="35">IF(K1351="","",IF(K1351=K1351+J1352-I1352,"",K1351+J1352-I1352))</f>
        <v/>
      </c>
    </row>
    <row r="1353" spans="11:11" customFormat="1">
      <c r="K1353" s="31" t="str">
        <f t="shared" si="35"/>
        <v/>
      </c>
    </row>
    <row r="1354" spans="11:11" customFormat="1">
      <c r="K1354" s="31" t="str">
        <f t="shared" si="35"/>
        <v/>
      </c>
    </row>
    <row r="1355" spans="11:11" customFormat="1">
      <c r="K1355" s="31" t="str">
        <f t="shared" si="35"/>
        <v/>
      </c>
    </row>
    <row r="1356" spans="11:11" customFormat="1">
      <c r="K1356" s="31" t="str">
        <f t="shared" si="35"/>
        <v/>
      </c>
    </row>
    <row r="1357" spans="11:11" customFormat="1">
      <c r="K1357" s="31" t="str">
        <f t="shared" si="35"/>
        <v/>
      </c>
    </row>
    <row r="1358" spans="11:11" customFormat="1">
      <c r="K1358" s="31" t="str">
        <f t="shared" si="35"/>
        <v/>
      </c>
    </row>
    <row r="1359" spans="11:11" customFormat="1">
      <c r="K1359" s="31" t="str">
        <f t="shared" si="35"/>
        <v/>
      </c>
    </row>
    <row r="1360" spans="11:11" customFormat="1">
      <c r="K1360" s="31" t="str">
        <f t="shared" si="35"/>
        <v/>
      </c>
    </row>
    <row r="1361" spans="11:11" customFormat="1">
      <c r="K1361" s="31" t="str">
        <f t="shared" si="35"/>
        <v/>
      </c>
    </row>
    <row r="1362" spans="11:11" customFormat="1">
      <c r="K1362" s="31" t="str">
        <f t="shared" si="35"/>
        <v/>
      </c>
    </row>
    <row r="1363" spans="11:11" customFormat="1">
      <c r="K1363" s="31" t="str">
        <f t="shared" si="35"/>
        <v/>
      </c>
    </row>
    <row r="1364" spans="11:11" customFormat="1">
      <c r="K1364" s="31" t="str">
        <f t="shared" si="35"/>
        <v/>
      </c>
    </row>
    <row r="1365" spans="11:11" customFormat="1">
      <c r="K1365" s="31" t="str">
        <f t="shared" si="35"/>
        <v/>
      </c>
    </row>
    <row r="1366" spans="11:11" customFormat="1">
      <c r="K1366" s="31" t="str">
        <f t="shared" si="35"/>
        <v/>
      </c>
    </row>
    <row r="1367" spans="11:11" customFormat="1">
      <c r="K1367" s="31" t="str">
        <f t="shared" si="35"/>
        <v/>
      </c>
    </row>
    <row r="1368" spans="11:11" customFormat="1">
      <c r="K1368" s="31" t="str">
        <f t="shared" si="35"/>
        <v/>
      </c>
    </row>
    <row r="1369" spans="11:11" customFormat="1">
      <c r="K1369" s="31" t="str">
        <f t="shared" si="35"/>
        <v/>
      </c>
    </row>
    <row r="1370" spans="11:11" customFormat="1">
      <c r="K1370" s="31" t="str">
        <f t="shared" si="35"/>
        <v/>
      </c>
    </row>
    <row r="1371" spans="11:11" customFormat="1">
      <c r="K1371" s="31" t="str">
        <f t="shared" si="35"/>
        <v/>
      </c>
    </row>
    <row r="1372" spans="11:11" customFormat="1">
      <c r="K1372" s="31" t="str">
        <f t="shared" si="35"/>
        <v/>
      </c>
    </row>
    <row r="1373" spans="11:11" customFormat="1">
      <c r="K1373" s="31" t="str">
        <f t="shared" si="35"/>
        <v/>
      </c>
    </row>
    <row r="1374" spans="11:11" customFormat="1">
      <c r="K1374" s="31" t="str">
        <f t="shared" si="35"/>
        <v/>
      </c>
    </row>
    <row r="1375" spans="11:11" customFormat="1">
      <c r="K1375" s="31" t="str">
        <f t="shared" si="35"/>
        <v/>
      </c>
    </row>
    <row r="1376" spans="11:11" customFormat="1">
      <c r="K1376" s="31" t="str">
        <f t="shared" si="35"/>
        <v/>
      </c>
    </row>
    <row r="1377" spans="11:11" customFormat="1">
      <c r="K1377" s="31" t="str">
        <f t="shared" si="35"/>
        <v/>
      </c>
    </row>
    <row r="1378" spans="11:11" customFormat="1">
      <c r="K1378" s="31" t="str">
        <f t="shared" si="35"/>
        <v/>
      </c>
    </row>
    <row r="1379" spans="11:11" customFormat="1">
      <c r="K1379" s="31" t="str">
        <f t="shared" si="35"/>
        <v/>
      </c>
    </row>
    <row r="1380" spans="11:11" customFormat="1">
      <c r="K1380" s="31" t="str">
        <f t="shared" si="35"/>
        <v/>
      </c>
    </row>
    <row r="1381" spans="11:11" customFormat="1">
      <c r="K1381" s="31" t="str">
        <f t="shared" si="35"/>
        <v/>
      </c>
    </row>
    <row r="1382" spans="11:11" customFormat="1">
      <c r="K1382" s="31" t="str">
        <f t="shared" si="35"/>
        <v/>
      </c>
    </row>
    <row r="1383" spans="11:11" customFormat="1">
      <c r="K1383" s="31" t="str">
        <f t="shared" si="35"/>
        <v/>
      </c>
    </row>
    <row r="1384" spans="11:11" customFormat="1">
      <c r="K1384" s="31" t="str">
        <f t="shared" si="35"/>
        <v/>
      </c>
    </row>
    <row r="1385" spans="11:11" customFormat="1">
      <c r="K1385" s="31" t="str">
        <f t="shared" si="35"/>
        <v/>
      </c>
    </row>
    <row r="1386" spans="11:11" customFormat="1">
      <c r="K1386" s="31" t="str">
        <f t="shared" si="35"/>
        <v/>
      </c>
    </row>
    <row r="1387" spans="11:11" customFormat="1">
      <c r="K1387" s="31" t="str">
        <f t="shared" si="35"/>
        <v/>
      </c>
    </row>
    <row r="1388" spans="11:11" customFormat="1">
      <c r="K1388" s="31" t="str">
        <f t="shared" si="35"/>
        <v/>
      </c>
    </row>
    <row r="1389" spans="11:11" customFormat="1">
      <c r="K1389" s="31" t="str">
        <f t="shared" si="35"/>
        <v/>
      </c>
    </row>
    <row r="1390" spans="11:11" customFormat="1">
      <c r="K1390" s="31" t="str">
        <f t="shared" si="35"/>
        <v/>
      </c>
    </row>
    <row r="1391" spans="11:11" customFormat="1">
      <c r="K1391" s="31" t="str">
        <f t="shared" si="35"/>
        <v/>
      </c>
    </row>
    <row r="1392" spans="11:11" customFormat="1">
      <c r="K1392" s="31" t="str">
        <f t="shared" si="35"/>
        <v/>
      </c>
    </row>
    <row r="1393" spans="11:11" customFormat="1">
      <c r="K1393" s="31" t="str">
        <f t="shared" si="35"/>
        <v/>
      </c>
    </row>
    <row r="1394" spans="11:11" customFormat="1">
      <c r="K1394" s="31" t="str">
        <f t="shared" si="35"/>
        <v/>
      </c>
    </row>
    <row r="1395" spans="11:11" customFormat="1">
      <c r="K1395" s="31" t="str">
        <f t="shared" si="35"/>
        <v/>
      </c>
    </row>
    <row r="1396" spans="11:11" customFormat="1">
      <c r="K1396" s="31" t="str">
        <f t="shared" si="35"/>
        <v/>
      </c>
    </row>
    <row r="1397" spans="11:11" customFormat="1">
      <c r="K1397" s="31" t="str">
        <f t="shared" si="35"/>
        <v/>
      </c>
    </row>
    <row r="1398" spans="11:11" customFormat="1">
      <c r="K1398" s="31" t="str">
        <f t="shared" si="35"/>
        <v/>
      </c>
    </row>
    <row r="1399" spans="11:11" customFormat="1">
      <c r="K1399" s="31" t="str">
        <f t="shared" si="35"/>
        <v/>
      </c>
    </row>
    <row r="1400" spans="11:11" customFormat="1">
      <c r="K1400" s="31" t="str">
        <f t="shared" si="35"/>
        <v/>
      </c>
    </row>
    <row r="1401" spans="11:11" customFormat="1">
      <c r="K1401" s="31" t="str">
        <f t="shared" si="35"/>
        <v/>
      </c>
    </row>
    <row r="1402" spans="11:11" customFormat="1">
      <c r="K1402" s="31" t="str">
        <f t="shared" si="35"/>
        <v/>
      </c>
    </row>
    <row r="1403" spans="11:11" customFormat="1">
      <c r="K1403" s="31" t="str">
        <f t="shared" si="35"/>
        <v/>
      </c>
    </row>
    <row r="1404" spans="11:11" customFormat="1">
      <c r="K1404" s="31" t="str">
        <f t="shared" si="35"/>
        <v/>
      </c>
    </row>
    <row r="1405" spans="11:11" customFormat="1">
      <c r="K1405" s="31" t="str">
        <f t="shared" si="35"/>
        <v/>
      </c>
    </row>
    <row r="1406" spans="11:11" customFormat="1">
      <c r="K1406" s="31" t="str">
        <f t="shared" si="35"/>
        <v/>
      </c>
    </row>
    <row r="1407" spans="11:11" customFormat="1">
      <c r="K1407" s="31" t="str">
        <f t="shared" si="35"/>
        <v/>
      </c>
    </row>
    <row r="1408" spans="11:11" customFormat="1">
      <c r="K1408" s="31" t="str">
        <f t="shared" si="35"/>
        <v/>
      </c>
    </row>
    <row r="1409" spans="11:11" customFormat="1">
      <c r="K1409" s="31" t="str">
        <f t="shared" si="35"/>
        <v/>
      </c>
    </row>
    <row r="1410" spans="11:11" customFormat="1">
      <c r="K1410" s="31" t="str">
        <f t="shared" si="35"/>
        <v/>
      </c>
    </row>
    <row r="1411" spans="11:11" customFormat="1">
      <c r="K1411" s="31" t="str">
        <f t="shared" si="35"/>
        <v/>
      </c>
    </row>
    <row r="1412" spans="11:11" customFormat="1">
      <c r="K1412" s="31" t="str">
        <f t="shared" si="35"/>
        <v/>
      </c>
    </row>
    <row r="1413" spans="11:11" customFormat="1">
      <c r="K1413" s="31" t="str">
        <f t="shared" si="35"/>
        <v/>
      </c>
    </row>
    <row r="1414" spans="11:11" customFormat="1">
      <c r="K1414" s="31" t="str">
        <f t="shared" si="35"/>
        <v/>
      </c>
    </row>
    <row r="1415" spans="11:11" customFormat="1">
      <c r="K1415" s="31" t="str">
        <f t="shared" si="35"/>
        <v/>
      </c>
    </row>
    <row r="1416" spans="11:11" customFormat="1">
      <c r="K1416" s="31" t="str">
        <f t="shared" ref="K1416:K1425" si="36">IF(K1415="","",IF(K1415=K1415+J1416-I1416,"",K1415+J1416-I1416))</f>
        <v/>
      </c>
    </row>
    <row r="1417" spans="11:11" customFormat="1">
      <c r="K1417" s="31" t="str">
        <f t="shared" si="36"/>
        <v/>
      </c>
    </row>
    <row r="1418" spans="11:11" customFormat="1">
      <c r="K1418" s="31" t="str">
        <f t="shared" si="36"/>
        <v/>
      </c>
    </row>
    <row r="1419" spans="11:11" customFormat="1">
      <c r="K1419" s="31" t="str">
        <f t="shared" si="36"/>
        <v/>
      </c>
    </row>
    <row r="1420" spans="11:11" customFormat="1">
      <c r="K1420" s="31" t="str">
        <f t="shared" si="36"/>
        <v/>
      </c>
    </row>
    <row r="1421" spans="11:11" customFormat="1">
      <c r="K1421" s="31" t="str">
        <f t="shared" si="36"/>
        <v/>
      </c>
    </row>
    <row r="1422" spans="11:11" customFormat="1">
      <c r="K1422" s="31" t="str">
        <f t="shared" si="36"/>
        <v/>
      </c>
    </row>
    <row r="1423" spans="11:11" customFormat="1">
      <c r="K1423" s="31" t="str">
        <f t="shared" si="36"/>
        <v/>
      </c>
    </row>
    <row r="1424" spans="11:11" customFormat="1">
      <c r="K1424" s="31" t="str">
        <f t="shared" si="36"/>
        <v/>
      </c>
    </row>
    <row r="1425" spans="11:11" customFormat="1">
      <c r="K1425" s="31" t="str">
        <f t="shared" si="36"/>
        <v/>
      </c>
    </row>
  </sheetData>
  <mergeCells count="6">
    <mergeCell ref="L5:M5"/>
    <mergeCell ref="H2:I2"/>
    <mergeCell ref="F2:G2"/>
    <mergeCell ref="F1:G1"/>
    <mergeCell ref="A1:C3"/>
    <mergeCell ref="D2:E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ボタン2_Click">
                <anchor moveWithCells="1" sizeWithCells="1">
                  <from>
                    <xdr:col>0</xdr:col>
                    <xdr:colOff>247650</xdr:colOff>
                    <xdr:row>4</xdr:row>
                    <xdr:rowOff>152400</xdr:rowOff>
                  </from>
                  <to>
                    <xdr:col>1</xdr:col>
                    <xdr:colOff>400050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7"/>
  <sheetViews>
    <sheetView zoomScale="85" zoomScaleNormal="85" workbookViewId="0">
      <selection sqref="A1:E3"/>
    </sheetView>
  </sheetViews>
  <sheetFormatPr defaultRowHeight="13.5"/>
  <cols>
    <col min="1" max="4" width="9" style="14"/>
    <col min="5" max="5" width="3.5" style="14" bestFit="1" customWidth="1"/>
    <col min="6" max="6" width="3.375" style="14" bestFit="1" customWidth="1"/>
    <col min="7" max="7" width="9.375" style="14" customWidth="1"/>
    <col min="8" max="8" width="11.875" style="14" customWidth="1"/>
    <col min="9" max="9" width="9" style="14"/>
    <col min="10" max="10" width="34.875" style="14" bestFit="1" customWidth="1"/>
    <col min="11" max="16384" width="9" style="14"/>
  </cols>
  <sheetData>
    <row r="1" spans="1:14" ht="13.5" customHeight="1">
      <c r="A1" s="51" t="s">
        <v>395</v>
      </c>
      <c r="B1" s="51"/>
      <c r="C1" s="51"/>
      <c r="D1" s="6"/>
      <c r="E1" s="3"/>
      <c r="G1" s="14" t="s">
        <v>26</v>
      </c>
    </row>
    <row r="2" spans="1:14" ht="13.5" customHeight="1">
      <c r="A2" s="51"/>
      <c r="B2" s="51"/>
      <c r="C2" s="51"/>
      <c r="D2" s="56" t="str">
        <f>財産管理!$D$2</f>
        <v>v1.31</v>
      </c>
      <c r="E2" s="56"/>
      <c r="G2" s="14" t="s">
        <v>25</v>
      </c>
      <c r="H2" s="12">
        <v>43064</v>
      </c>
    </row>
    <row r="3" spans="1:14" ht="13.5" customHeight="1">
      <c r="A3" s="51"/>
      <c r="B3" s="51"/>
      <c r="C3" s="51"/>
      <c r="D3" s="56"/>
      <c r="E3" s="56"/>
      <c r="G3" s="56"/>
      <c r="H3" s="56"/>
    </row>
    <row r="4" spans="1:14" ht="13.5" customHeight="1">
      <c r="A4" s="2"/>
      <c r="B4" s="2"/>
      <c r="C4" s="2"/>
      <c r="D4" s="2"/>
      <c r="E4" s="3"/>
      <c r="G4" s="56"/>
      <c r="H4" s="56"/>
    </row>
    <row r="6" spans="1:14">
      <c r="C6" s="4" t="s">
        <v>11</v>
      </c>
      <c r="D6" s="4" t="s">
        <v>3</v>
      </c>
      <c r="E6" s="4" t="s">
        <v>1</v>
      </c>
      <c r="F6" s="4" t="s">
        <v>2</v>
      </c>
      <c r="G6" s="4" t="s">
        <v>13</v>
      </c>
      <c r="H6" s="4" t="s">
        <v>12</v>
      </c>
      <c r="I6" s="4" t="s">
        <v>9</v>
      </c>
      <c r="J6" s="4" t="s">
        <v>7</v>
      </c>
      <c r="L6" s="14" t="s">
        <v>17</v>
      </c>
      <c r="M6" s="14" t="s">
        <v>21</v>
      </c>
    </row>
    <row r="7" spans="1:14">
      <c r="C7" s="41"/>
      <c r="D7" s="41"/>
      <c r="E7" s="41"/>
      <c r="F7" s="41"/>
      <c r="G7" s="41"/>
      <c r="H7" s="7"/>
      <c r="I7" s="31"/>
      <c r="J7" s="31"/>
      <c r="K7" s="31"/>
      <c r="L7" s="41"/>
      <c r="M7" s="41"/>
      <c r="N7" s="41"/>
    </row>
    <row r="8" spans="1:14">
      <c r="C8" s="41"/>
      <c r="D8" s="41"/>
      <c r="E8" s="41"/>
      <c r="F8" s="41"/>
      <c r="G8" s="41"/>
      <c r="H8" s="7"/>
      <c r="I8" s="31"/>
      <c r="J8" s="31"/>
      <c r="K8" s="31"/>
      <c r="L8" s="41"/>
      <c r="M8" s="41"/>
      <c r="N8" s="41"/>
    </row>
    <row r="9" spans="1:14">
      <c r="C9" s="41"/>
      <c r="D9" s="41"/>
      <c r="E9" s="41"/>
      <c r="F9" s="41"/>
      <c r="G9" s="41"/>
      <c r="H9" s="7"/>
      <c r="I9" s="31"/>
      <c r="J9" s="31"/>
      <c r="K9" s="31"/>
      <c r="L9" s="41"/>
      <c r="M9" s="41"/>
      <c r="N9" s="13"/>
    </row>
    <row r="10" spans="1:14">
      <c r="C10" s="41"/>
      <c r="D10" s="41"/>
      <c r="E10" s="41"/>
      <c r="F10" s="41"/>
      <c r="G10" s="41"/>
      <c r="H10" s="7"/>
      <c r="I10" s="31"/>
      <c r="J10" s="31"/>
      <c r="K10" s="31"/>
      <c r="L10" s="41"/>
      <c r="M10" s="41"/>
      <c r="N10" s="13"/>
    </row>
    <row r="11" spans="1:14">
      <c r="C11" s="41"/>
      <c r="D11" s="41"/>
      <c r="E11" s="13"/>
      <c r="F11" s="13"/>
      <c r="G11" s="13"/>
      <c r="H11" s="7"/>
      <c r="I11" s="32"/>
      <c r="J11" s="32"/>
      <c r="K11" s="31"/>
      <c r="L11" s="13"/>
      <c r="M11" s="41"/>
      <c r="N11" s="13"/>
    </row>
    <row r="12" spans="1:14">
      <c r="C12" s="41"/>
      <c r="D12" s="41"/>
      <c r="E12" s="13"/>
      <c r="F12" s="13"/>
      <c r="G12" s="13"/>
      <c r="H12" s="7"/>
      <c r="I12" s="32"/>
      <c r="J12" s="32"/>
      <c r="K12" s="31"/>
      <c r="L12" s="13"/>
      <c r="M12" s="41"/>
      <c r="N12" s="13"/>
    </row>
    <row r="13" spans="1:14">
      <c r="C13" s="41"/>
      <c r="D13" s="41"/>
      <c r="E13" s="13"/>
      <c r="F13" s="13"/>
      <c r="G13" s="13"/>
      <c r="H13" s="7"/>
      <c r="I13" s="32"/>
      <c r="J13" s="32"/>
      <c r="K13" s="31"/>
      <c r="L13" s="13"/>
      <c r="M13" s="41"/>
      <c r="N13" s="13"/>
    </row>
    <row r="14" spans="1:14">
      <c r="C14" s="41"/>
      <c r="D14" s="41"/>
      <c r="E14" s="13"/>
      <c r="F14" s="13"/>
      <c r="G14" s="13"/>
      <c r="H14" s="7"/>
      <c r="I14" s="32"/>
      <c r="J14" s="32"/>
      <c r="K14" s="31"/>
      <c r="L14" s="41"/>
      <c r="M14" s="41"/>
      <c r="N14" s="13"/>
    </row>
    <row r="15" spans="1:14">
      <c r="C15" s="41"/>
      <c r="D15" s="41"/>
      <c r="E15" s="13"/>
      <c r="F15" s="13"/>
      <c r="G15" s="13"/>
      <c r="H15" s="7"/>
      <c r="I15" s="32"/>
      <c r="J15" s="32"/>
      <c r="K15" s="31"/>
      <c r="L15" s="41"/>
      <c r="M15" s="41"/>
      <c r="N15" s="13"/>
    </row>
    <row r="16" spans="1:14">
      <c r="C16" s="41"/>
      <c r="D16" s="41"/>
      <c r="E16" s="13"/>
      <c r="F16" s="13"/>
      <c r="G16" s="13"/>
      <c r="H16" s="7"/>
      <c r="I16" s="32"/>
      <c r="J16" s="32"/>
      <c r="K16" s="31"/>
      <c r="L16" s="41"/>
      <c r="M16" s="41"/>
      <c r="N16" s="13"/>
    </row>
    <row r="17" spans="3:14">
      <c r="C17" s="41"/>
      <c r="D17" s="41"/>
      <c r="E17" s="13"/>
      <c r="F17" s="13"/>
      <c r="G17" s="13"/>
      <c r="H17" s="7"/>
      <c r="I17" s="32"/>
      <c r="J17" s="32"/>
      <c r="K17" s="31"/>
      <c r="L17" s="41"/>
      <c r="M17" s="41"/>
      <c r="N17" s="13"/>
    </row>
    <row r="18" spans="3:14">
      <c r="C18" s="41"/>
      <c r="D18" s="41"/>
      <c r="E18" s="13"/>
      <c r="F18" s="13"/>
      <c r="G18" s="13"/>
      <c r="H18" s="7"/>
      <c r="I18" s="32"/>
      <c r="J18" s="32"/>
      <c r="K18" s="31"/>
      <c r="L18" s="41"/>
      <c r="M18" s="41"/>
      <c r="N18" s="13"/>
    </row>
    <row r="19" spans="3:14">
      <c r="C19" s="41"/>
      <c r="D19" s="41"/>
      <c r="E19" s="13"/>
      <c r="F19" s="13"/>
      <c r="G19" s="13"/>
      <c r="H19" s="7"/>
      <c r="I19" s="32"/>
      <c r="J19" s="32"/>
      <c r="K19" s="31"/>
      <c r="L19" s="41"/>
      <c r="M19" s="41"/>
      <c r="N19" s="13"/>
    </row>
    <row r="20" spans="3:14">
      <c r="C20" s="41"/>
      <c r="D20" s="41"/>
      <c r="E20" s="13"/>
      <c r="F20" s="13"/>
      <c r="G20" s="13"/>
      <c r="H20" s="7"/>
      <c r="I20" s="32"/>
      <c r="J20" s="31"/>
      <c r="K20" s="31"/>
      <c r="L20" s="41"/>
      <c r="M20" s="41"/>
      <c r="N20" s="41"/>
    </row>
    <row r="21" spans="3:14">
      <c r="C21" s="41"/>
      <c r="D21" s="41"/>
      <c r="E21" s="13"/>
      <c r="F21" s="13"/>
      <c r="G21" s="13"/>
      <c r="H21" s="7"/>
      <c r="I21" s="32"/>
      <c r="J21" s="31"/>
      <c r="K21" s="31"/>
      <c r="L21" s="41"/>
      <c r="M21" s="41"/>
      <c r="N21" s="41"/>
    </row>
    <row r="22" spans="3:14">
      <c r="C22" s="41"/>
      <c r="D22" s="41"/>
      <c r="E22" s="13"/>
      <c r="F22" s="13"/>
      <c r="G22" s="13"/>
      <c r="H22" s="7"/>
      <c r="I22" s="32"/>
      <c r="J22" s="31"/>
      <c r="K22" s="31"/>
      <c r="L22" s="41"/>
      <c r="M22" s="41"/>
      <c r="N22" s="41"/>
    </row>
    <row r="23" spans="3:14">
      <c r="C23" s="41"/>
      <c r="D23" s="41"/>
      <c r="E23" s="13"/>
      <c r="F23" s="13"/>
      <c r="G23" s="13"/>
      <c r="H23" s="7"/>
      <c r="I23" s="32"/>
      <c r="J23" s="31"/>
      <c r="K23" s="31"/>
      <c r="L23" s="41"/>
      <c r="M23" s="41"/>
      <c r="N23" s="41"/>
    </row>
    <row r="24" spans="3:14">
      <c r="C24" s="41"/>
      <c r="D24" s="41"/>
      <c r="E24" s="13"/>
      <c r="F24" s="13"/>
      <c r="G24" s="13"/>
      <c r="H24" s="7"/>
      <c r="I24" s="32"/>
      <c r="J24" s="31"/>
      <c r="K24" s="31"/>
      <c r="L24" s="41"/>
      <c r="M24" s="41"/>
      <c r="N24" s="41"/>
    </row>
    <row r="25" spans="3:14">
      <c r="C25" s="41"/>
      <c r="D25" s="41"/>
      <c r="E25" s="13"/>
      <c r="F25" s="13"/>
      <c r="G25" s="13"/>
      <c r="H25" s="7"/>
      <c r="I25" s="32"/>
      <c r="J25" s="31"/>
      <c r="K25" s="31"/>
      <c r="L25" s="41"/>
      <c r="M25" s="41"/>
      <c r="N25" s="41"/>
    </row>
    <row r="26" spans="3:14">
      <c r="C26" s="41"/>
      <c r="D26" s="41"/>
      <c r="E26" s="13"/>
      <c r="F26" s="13"/>
      <c r="G26" s="13"/>
      <c r="H26" s="7"/>
      <c r="I26" s="32"/>
      <c r="J26" s="31"/>
      <c r="K26" s="31"/>
      <c r="L26" s="41"/>
      <c r="M26" s="41"/>
      <c r="N26" s="41"/>
    </row>
    <row r="27" spans="3:14">
      <c r="C27" s="41"/>
      <c r="D27" s="41"/>
      <c r="E27" s="13"/>
      <c r="F27" s="13"/>
      <c r="G27" s="13"/>
      <c r="H27" s="7"/>
      <c r="I27" s="32"/>
      <c r="J27" s="31"/>
      <c r="K27" s="31"/>
      <c r="L27" s="41"/>
      <c r="M27" s="41"/>
      <c r="N27" s="41"/>
    </row>
    <row r="28" spans="3:14">
      <c r="C28" s="41"/>
      <c r="D28" s="41"/>
      <c r="E28" s="13"/>
      <c r="F28" s="13"/>
      <c r="G28" s="13"/>
      <c r="H28" s="7"/>
      <c r="I28" s="32"/>
      <c r="J28" s="41"/>
      <c r="K28" s="31"/>
      <c r="L28" s="41"/>
      <c r="M28" s="41"/>
      <c r="N28" s="41"/>
    </row>
    <row r="29" spans="3:14">
      <c r="C29" s="41"/>
      <c r="D29" s="41"/>
      <c r="E29" s="13"/>
      <c r="F29" s="13"/>
      <c r="G29" s="13"/>
      <c r="H29" s="7"/>
      <c r="I29" s="32"/>
      <c r="J29" s="31"/>
      <c r="K29" s="31"/>
      <c r="L29" s="41"/>
      <c r="M29" s="41"/>
      <c r="N29" s="41"/>
    </row>
    <row r="30" spans="3:14">
      <c r="C30" s="41"/>
      <c r="D30" s="41"/>
      <c r="E30" s="13"/>
      <c r="F30" s="13"/>
      <c r="G30" s="13"/>
      <c r="H30" s="7"/>
      <c r="I30" s="32"/>
      <c r="J30" s="31"/>
      <c r="K30" s="31"/>
      <c r="L30" s="41"/>
      <c r="M30" s="41"/>
      <c r="N30" s="41"/>
    </row>
    <row r="31" spans="3:14">
      <c r="C31" s="41"/>
      <c r="D31" s="41"/>
      <c r="E31" s="13"/>
      <c r="F31" s="13"/>
      <c r="G31" s="13"/>
      <c r="H31" s="7"/>
      <c r="I31" s="32"/>
      <c r="J31" s="31"/>
      <c r="K31" s="31"/>
      <c r="L31" s="41"/>
      <c r="M31" s="41"/>
      <c r="N31" s="41"/>
    </row>
    <row r="32" spans="3:14">
      <c r="C32" s="41"/>
      <c r="D32" s="41"/>
      <c r="E32" s="13"/>
      <c r="F32" s="13"/>
      <c r="G32" s="13"/>
      <c r="H32" s="7"/>
      <c r="I32" s="32"/>
      <c r="J32" s="31"/>
      <c r="K32" s="31"/>
      <c r="L32" s="41"/>
      <c r="M32" s="41"/>
      <c r="N32" s="41"/>
    </row>
    <row r="33" spans="3:14">
      <c r="C33" s="41"/>
      <c r="D33" s="41"/>
      <c r="E33" s="13"/>
      <c r="F33" s="13"/>
      <c r="G33" s="13"/>
      <c r="H33" s="7"/>
      <c r="I33" s="32"/>
      <c r="J33" s="31"/>
      <c r="K33" s="31"/>
      <c r="L33" s="41"/>
      <c r="M33" s="41"/>
      <c r="N33" s="41"/>
    </row>
    <row r="34" spans="3:14">
      <c r="C34" s="41"/>
      <c r="D34" s="41"/>
      <c r="E34" s="13"/>
      <c r="F34" s="13"/>
      <c r="G34" s="13"/>
      <c r="H34" s="7"/>
      <c r="I34" s="32"/>
      <c r="J34" s="31"/>
      <c r="K34" s="31"/>
      <c r="L34" s="41"/>
      <c r="M34" s="41"/>
      <c r="N34" s="41"/>
    </row>
    <row r="35" spans="3:14">
      <c r="C35" s="41"/>
      <c r="D35" s="41"/>
      <c r="E35" s="13"/>
      <c r="F35" s="13"/>
      <c r="G35" s="13"/>
      <c r="H35" s="7"/>
      <c r="I35" s="32"/>
      <c r="J35" s="31"/>
      <c r="K35" s="31"/>
      <c r="L35" s="41"/>
      <c r="M35" s="41"/>
      <c r="N35" s="41"/>
    </row>
    <row r="36" spans="3:14">
      <c r="C36" s="41"/>
      <c r="D36" s="41"/>
      <c r="E36" s="13"/>
      <c r="F36" s="13"/>
      <c r="G36" s="13"/>
      <c r="H36" s="7"/>
      <c r="I36" s="32"/>
      <c r="J36" s="31"/>
      <c r="K36" s="31"/>
      <c r="L36" s="41"/>
      <c r="M36" s="41"/>
      <c r="N36" s="41"/>
    </row>
    <row r="37" spans="3:14">
      <c r="C37" s="41"/>
      <c r="D37" s="41"/>
      <c r="E37" s="13"/>
      <c r="F37" s="13"/>
      <c r="G37" s="13"/>
      <c r="H37" s="7"/>
      <c r="I37" s="32"/>
      <c r="J37" s="31"/>
      <c r="K37" s="31"/>
      <c r="L37" s="41"/>
      <c r="M37" s="41"/>
      <c r="N37" s="41"/>
    </row>
  </sheetData>
  <mergeCells count="3">
    <mergeCell ref="A1:C3"/>
    <mergeCell ref="D2:E3"/>
    <mergeCell ref="G3:H4"/>
  </mergeCells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6"/>
  <sheetViews>
    <sheetView zoomScale="85" zoomScaleNormal="85" workbookViewId="0">
      <selection activeCell="O10" sqref="O10"/>
    </sheetView>
  </sheetViews>
  <sheetFormatPr defaultRowHeight="13.5"/>
  <cols>
    <col min="1" max="4" width="9" style="11"/>
    <col min="5" max="5" width="3.5" style="11" bestFit="1" customWidth="1"/>
    <col min="6" max="6" width="3.375" style="11" bestFit="1" customWidth="1"/>
    <col min="7" max="7" width="9.375" style="11" customWidth="1"/>
    <col min="8" max="8" width="11.625" style="11" bestFit="1" customWidth="1"/>
    <col min="9" max="10" width="9" style="11"/>
    <col min="11" max="11" width="12.375" style="11" bestFit="1" customWidth="1"/>
    <col min="12" max="12" width="34.875" style="11" bestFit="1" customWidth="1"/>
    <col min="13" max="16384" width="9" style="11"/>
  </cols>
  <sheetData>
    <row r="1" spans="1:15" ht="13.5" customHeight="1">
      <c r="A1" s="51" t="s">
        <v>396</v>
      </c>
      <c r="B1" s="51"/>
      <c r="C1" s="51"/>
      <c r="D1" s="6"/>
      <c r="E1" s="3"/>
      <c r="F1" s="41"/>
      <c r="G1" s="41" t="s">
        <v>26</v>
      </c>
    </row>
    <row r="2" spans="1:15" ht="13.5" customHeight="1">
      <c r="A2" s="51"/>
      <c r="B2" s="51"/>
      <c r="C2" s="51"/>
      <c r="D2" s="56" t="str">
        <f>財産管理!$D$2</f>
        <v>v1.31</v>
      </c>
      <c r="E2" s="56"/>
      <c r="F2" s="41"/>
      <c r="G2" s="41" t="s">
        <v>25</v>
      </c>
      <c r="H2" s="12">
        <v>43064</v>
      </c>
    </row>
    <row r="3" spans="1:15" ht="13.5" customHeight="1">
      <c r="A3" s="51"/>
      <c r="B3" s="51"/>
      <c r="C3" s="51"/>
      <c r="D3" s="56"/>
      <c r="E3" s="56"/>
      <c r="F3" s="41"/>
      <c r="G3" s="41"/>
    </row>
    <row r="4" spans="1:15" ht="13.5" customHeight="1">
      <c r="A4" s="2"/>
      <c r="B4" s="2"/>
      <c r="C4" s="2"/>
      <c r="D4" s="2"/>
      <c r="E4" s="3"/>
    </row>
    <row r="5" spans="1:15">
      <c r="J5" s="52" t="s">
        <v>4</v>
      </c>
      <c r="K5" s="53"/>
    </row>
    <row r="6" spans="1:15">
      <c r="C6" s="4" t="s">
        <v>11</v>
      </c>
      <c r="D6" s="4" t="s">
        <v>3</v>
      </c>
      <c r="E6" s="4" t="s">
        <v>1</v>
      </c>
      <c r="F6" s="4" t="s">
        <v>2</v>
      </c>
      <c r="G6" s="4" t="s">
        <v>13</v>
      </c>
      <c r="H6" s="4" t="s">
        <v>12</v>
      </c>
      <c r="I6" s="4" t="s">
        <v>9</v>
      </c>
      <c r="J6" s="5" t="s">
        <v>6</v>
      </c>
      <c r="K6" s="5" t="s">
        <v>5</v>
      </c>
      <c r="L6" s="4" t="s">
        <v>7</v>
      </c>
      <c r="N6" s="11" t="s">
        <v>17</v>
      </c>
      <c r="O6" s="11" t="s">
        <v>21</v>
      </c>
    </row>
    <row r="7" spans="1:15">
      <c r="C7" s="11">
        <v>1</v>
      </c>
      <c r="L7" s="18"/>
      <c r="N7" s="11">
        <f>MAX(I7:I97)</f>
        <v>0</v>
      </c>
      <c r="O7" s="11">
        <f>SUM(I7:I90)</f>
        <v>0</v>
      </c>
    </row>
    <row r="8" spans="1:15">
      <c r="C8" s="11">
        <v>2</v>
      </c>
      <c r="L8" s="18"/>
      <c r="N8" s="11" t="s">
        <v>19</v>
      </c>
      <c r="O8" s="11" t="s">
        <v>18</v>
      </c>
    </row>
    <row r="9" spans="1:15">
      <c r="C9" s="11">
        <v>3</v>
      </c>
      <c r="L9" s="18"/>
      <c r="N9" s="11">
        <f>MIN(I7:I97)</f>
        <v>0</v>
      </c>
      <c r="O9" s="11" t="e">
        <f>AVERAGE(I7:I97)</f>
        <v>#DIV/0!</v>
      </c>
    </row>
    <row r="10" spans="1:15">
      <c r="C10" s="11">
        <v>4</v>
      </c>
      <c r="L10" s="18"/>
    </row>
    <row r="11" spans="1:15">
      <c r="C11" s="11">
        <v>5</v>
      </c>
      <c r="L11" s="18"/>
    </row>
    <row r="12" spans="1:15">
      <c r="C12" s="11">
        <v>6</v>
      </c>
      <c r="L12" s="18"/>
    </row>
    <row r="13" spans="1:15">
      <c r="C13" s="11">
        <v>7</v>
      </c>
      <c r="L13" s="18"/>
    </row>
    <row r="14" spans="1:15">
      <c r="C14" s="11">
        <v>8</v>
      </c>
      <c r="L14" s="18"/>
    </row>
    <row r="15" spans="1:15">
      <c r="C15" s="11">
        <v>9</v>
      </c>
      <c r="L15" s="18"/>
    </row>
    <row r="16" spans="1:15">
      <c r="C16" s="11">
        <v>10</v>
      </c>
      <c r="L16" s="18"/>
    </row>
    <row r="17" spans="3:12">
      <c r="C17" s="11">
        <v>11</v>
      </c>
      <c r="L17" s="18"/>
    </row>
    <row r="18" spans="3:12">
      <c r="C18" s="11">
        <v>12</v>
      </c>
    </row>
    <row r="19" spans="3:12">
      <c r="C19" s="11">
        <v>13</v>
      </c>
    </row>
    <row r="20" spans="3:12">
      <c r="C20" s="11">
        <v>14</v>
      </c>
    </row>
    <row r="21" spans="3:12">
      <c r="C21" s="11">
        <v>15</v>
      </c>
    </row>
    <row r="22" spans="3:12">
      <c r="C22" s="11">
        <v>16</v>
      </c>
    </row>
    <row r="23" spans="3:12">
      <c r="C23" s="11">
        <v>17</v>
      </c>
    </row>
    <row r="24" spans="3:12">
      <c r="C24" s="11">
        <v>18</v>
      </c>
    </row>
    <row r="25" spans="3:12">
      <c r="C25" s="11">
        <v>19</v>
      </c>
    </row>
    <row r="26" spans="3:12">
      <c r="C26" s="11">
        <v>20</v>
      </c>
    </row>
    <row r="27" spans="3:12">
      <c r="C27" s="11">
        <v>21</v>
      </c>
    </row>
    <row r="28" spans="3:12">
      <c r="C28" s="11">
        <v>22</v>
      </c>
    </row>
    <row r="29" spans="3:12">
      <c r="C29" s="11">
        <v>23</v>
      </c>
    </row>
    <row r="30" spans="3:12">
      <c r="C30" s="11">
        <v>24</v>
      </c>
    </row>
    <row r="31" spans="3:12">
      <c r="C31" s="11">
        <v>25</v>
      </c>
    </row>
    <row r="32" spans="3:12">
      <c r="C32" s="11">
        <v>26</v>
      </c>
    </row>
    <row r="33" spans="3:3">
      <c r="C33" s="11">
        <v>27</v>
      </c>
    </row>
    <row r="34" spans="3:3">
      <c r="C34" s="11">
        <v>28</v>
      </c>
    </row>
    <row r="35" spans="3:3">
      <c r="C35" s="11">
        <v>29</v>
      </c>
    </row>
    <row r="36" spans="3:3">
      <c r="C36" s="11">
        <v>30</v>
      </c>
    </row>
  </sheetData>
  <mergeCells count="3">
    <mergeCell ref="J5:K5"/>
    <mergeCell ref="A1:C3"/>
    <mergeCell ref="D2:E3"/>
  </mergeCells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6"/>
  <sheetViews>
    <sheetView zoomScale="85" zoomScaleNormal="85" workbookViewId="0">
      <selection activeCell="H2" sqref="H2"/>
    </sheetView>
  </sheetViews>
  <sheetFormatPr defaultRowHeight="13.5"/>
  <cols>
    <col min="1" max="4" width="9" style="11"/>
    <col min="5" max="5" width="3.5" style="11" bestFit="1" customWidth="1"/>
    <col min="6" max="6" width="3.375" style="11" bestFit="1" customWidth="1"/>
    <col min="7" max="7" width="9.375" style="11" customWidth="1"/>
    <col min="8" max="8" width="7.125" style="11" bestFit="1" customWidth="1"/>
    <col min="9" max="9" width="9" style="11" bestFit="1" customWidth="1"/>
    <col min="10" max="13" width="9" style="11"/>
    <col min="14" max="14" width="34.875" style="11" bestFit="1" customWidth="1"/>
    <col min="15" max="16384" width="9" style="11"/>
  </cols>
  <sheetData>
    <row r="1" spans="1:14" ht="13.5" customHeight="1">
      <c r="A1" s="51" t="s">
        <v>14</v>
      </c>
      <c r="B1" s="51"/>
      <c r="C1" s="51"/>
      <c r="D1" s="6"/>
      <c r="E1" s="3"/>
      <c r="F1" s="41"/>
      <c r="G1" s="41" t="s">
        <v>26</v>
      </c>
    </row>
    <row r="2" spans="1:14" ht="13.5" customHeight="1">
      <c r="A2" s="51"/>
      <c r="B2" s="51"/>
      <c r="C2" s="51"/>
      <c r="D2" s="56" t="str">
        <f>財産管理!$D$2</f>
        <v>v1.31</v>
      </c>
      <c r="E2" s="56"/>
      <c r="F2" s="41"/>
      <c r="G2" s="41" t="s">
        <v>25</v>
      </c>
    </row>
    <row r="3" spans="1:14" ht="13.5" customHeight="1">
      <c r="A3" s="51"/>
      <c r="B3" s="51"/>
      <c r="C3" s="51"/>
      <c r="D3" s="56"/>
      <c r="E3" s="56"/>
      <c r="F3" s="41"/>
      <c r="G3" s="41"/>
    </row>
    <row r="4" spans="1:14" ht="13.5" customHeight="1">
      <c r="A4" s="2"/>
      <c r="B4" s="2"/>
      <c r="C4" s="2"/>
      <c r="D4" s="2"/>
      <c r="E4" s="3"/>
    </row>
    <row r="5" spans="1:14">
      <c r="L5" s="9" t="s">
        <v>15</v>
      </c>
      <c r="M5" s="10"/>
    </row>
    <row r="6" spans="1:14">
      <c r="C6" s="4" t="s">
        <v>11</v>
      </c>
      <c r="D6" s="4" t="s">
        <v>3</v>
      </c>
      <c r="E6" s="4" t="s">
        <v>1</v>
      </c>
      <c r="F6" s="4" t="s">
        <v>2</v>
      </c>
      <c r="G6" s="4" t="s">
        <v>13</v>
      </c>
      <c r="H6" s="4" t="s">
        <v>12</v>
      </c>
      <c r="I6" s="4" t="s">
        <v>8</v>
      </c>
      <c r="J6" s="4" t="s">
        <v>9</v>
      </c>
      <c r="K6" s="4" t="s">
        <v>10</v>
      </c>
      <c r="L6" s="5" t="s">
        <v>6</v>
      </c>
      <c r="M6" s="5" t="s">
        <v>16</v>
      </c>
      <c r="N6" s="4" t="s">
        <v>7</v>
      </c>
    </row>
    <row r="7" spans="1:14">
      <c r="C7" s="11">
        <v>1</v>
      </c>
    </row>
    <row r="8" spans="1:14">
      <c r="C8" s="11">
        <v>2</v>
      </c>
    </row>
    <row r="9" spans="1:14">
      <c r="C9" s="11">
        <v>3</v>
      </c>
    </row>
    <row r="10" spans="1:14">
      <c r="C10" s="11">
        <v>4</v>
      </c>
    </row>
    <row r="11" spans="1:14">
      <c r="C11" s="11">
        <v>5</v>
      </c>
    </row>
    <row r="12" spans="1:14">
      <c r="C12" s="11">
        <v>6</v>
      </c>
    </row>
    <row r="13" spans="1:14">
      <c r="C13" s="11">
        <v>7</v>
      </c>
    </row>
    <row r="14" spans="1:14">
      <c r="C14" s="11">
        <v>8</v>
      </c>
    </row>
    <row r="15" spans="1:14">
      <c r="C15" s="11">
        <v>9</v>
      </c>
    </row>
    <row r="16" spans="1:14">
      <c r="C16" s="11">
        <v>10</v>
      </c>
    </row>
    <row r="17" spans="3:3">
      <c r="C17" s="11">
        <v>11</v>
      </c>
    </row>
    <row r="18" spans="3:3">
      <c r="C18" s="11">
        <v>12</v>
      </c>
    </row>
    <row r="19" spans="3:3">
      <c r="C19" s="11">
        <v>13</v>
      </c>
    </row>
    <row r="20" spans="3:3">
      <c r="C20" s="11">
        <v>14</v>
      </c>
    </row>
    <row r="21" spans="3:3">
      <c r="C21" s="11">
        <v>15</v>
      </c>
    </row>
    <row r="22" spans="3:3">
      <c r="C22" s="11">
        <v>16</v>
      </c>
    </row>
    <row r="23" spans="3:3">
      <c r="C23" s="11">
        <v>17</v>
      </c>
    </row>
    <row r="24" spans="3:3">
      <c r="C24" s="11">
        <v>18</v>
      </c>
    </row>
    <row r="25" spans="3:3">
      <c r="C25" s="11">
        <v>19</v>
      </c>
    </row>
    <row r="26" spans="3:3">
      <c r="C26" s="11">
        <v>20</v>
      </c>
    </row>
    <row r="27" spans="3:3">
      <c r="C27" s="11">
        <v>21</v>
      </c>
    </row>
    <row r="28" spans="3:3">
      <c r="C28" s="11">
        <v>22</v>
      </c>
    </row>
    <row r="29" spans="3:3">
      <c r="C29" s="11">
        <v>23</v>
      </c>
    </row>
    <row r="30" spans="3:3">
      <c r="C30" s="11">
        <v>24</v>
      </c>
    </row>
    <row r="31" spans="3:3">
      <c r="C31" s="11">
        <v>25</v>
      </c>
    </row>
    <row r="32" spans="3:3">
      <c r="C32" s="11">
        <v>26</v>
      </c>
    </row>
    <row r="33" spans="3:3">
      <c r="C33" s="11">
        <v>27</v>
      </c>
    </row>
    <row r="34" spans="3:3">
      <c r="C34" s="11">
        <v>28</v>
      </c>
    </row>
    <row r="35" spans="3:3">
      <c r="C35" s="11">
        <v>29</v>
      </c>
    </row>
    <row r="36" spans="3:3">
      <c r="C36" s="11">
        <v>30</v>
      </c>
    </row>
  </sheetData>
  <mergeCells count="2">
    <mergeCell ref="A1:C3"/>
    <mergeCell ref="D2:E3"/>
  </mergeCells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D9"/>
  <sheetViews>
    <sheetView zoomScale="115" zoomScaleNormal="115" workbookViewId="0">
      <selection activeCell="C38" sqref="C38"/>
    </sheetView>
  </sheetViews>
  <sheetFormatPr defaultRowHeight="13.5"/>
  <cols>
    <col min="1" max="2" width="9" style="41"/>
    <col min="3" max="3" width="11.625" style="41" bestFit="1" customWidth="1"/>
    <col min="4" max="4" width="10.5" style="41" bestFit="1" customWidth="1"/>
    <col min="5" max="16384" width="9" style="41"/>
  </cols>
  <sheetData>
    <row r="3" spans="2:4">
      <c r="B3" s="41" t="s">
        <v>397</v>
      </c>
    </row>
    <row r="5" spans="2:4">
      <c r="B5" s="41" t="s">
        <v>398</v>
      </c>
      <c r="C5" s="41" t="s">
        <v>399</v>
      </c>
      <c r="D5" s="41" t="s">
        <v>400</v>
      </c>
    </row>
    <row r="6" spans="2:4">
      <c r="B6" s="41" t="s">
        <v>401</v>
      </c>
      <c r="C6" s="12" t="s">
        <v>403</v>
      </c>
      <c r="D6" s="41" t="s">
        <v>402</v>
      </c>
    </row>
    <row r="7" spans="2:4">
      <c r="B7" s="41" t="s">
        <v>406</v>
      </c>
      <c r="C7" s="12">
        <v>43019</v>
      </c>
      <c r="D7" s="41" t="s">
        <v>407</v>
      </c>
    </row>
    <row r="8" spans="2:4">
      <c r="B8" s="41" t="s">
        <v>405</v>
      </c>
      <c r="C8" s="12">
        <v>43064</v>
      </c>
      <c r="D8" s="41" t="s">
        <v>404</v>
      </c>
    </row>
    <row r="9" spans="2:4">
      <c r="B9" s="41" t="s">
        <v>419</v>
      </c>
      <c r="C9" s="12">
        <v>43188</v>
      </c>
      <c r="D9" s="41" t="s">
        <v>420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AI164"/>
  <sheetViews>
    <sheetView topLeftCell="A38" zoomScale="40" zoomScaleNormal="40" workbookViewId="0">
      <selection activeCell="AE118" sqref="AE118"/>
    </sheetView>
  </sheetViews>
  <sheetFormatPr defaultRowHeight="13.5"/>
  <cols>
    <col min="2" max="2" width="17.875" bestFit="1" customWidth="1"/>
  </cols>
  <sheetData>
    <row r="3" spans="1:14">
      <c r="A3" s="41" t="s">
        <v>157</v>
      </c>
      <c r="B3" s="41" t="s">
        <v>158</v>
      </c>
      <c r="F3" t="s">
        <v>256</v>
      </c>
      <c r="H3" t="s">
        <v>257</v>
      </c>
      <c r="I3" s="41" t="s">
        <v>157</v>
      </c>
      <c r="J3" t="s">
        <v>257</v>
      </c>
      <c r="N3" t="s">
        <v>258</v>
      </c>
    </row>
    <row r="4" spans="1:14">
      <c r="A4" s="41" t="s">
        <v>159</v>
      </c>
      <c r="B4" s="41" t="s">
        <v>160</v>
      </c>
      <c r="F4" s="41" t="s">
        <v>256</v>
      </c>
      <c r="H4" s="41" t="s">
        <v>257</v>
      </c>
      <c r="I4" s="41" t="s">
        <v>159</v>
      </c>
      <c r="J4" s="41" t="s">
        <v>257</v>
      </c>
      <c r="N4" t="s">
        <v>259</v>
      </c>
    </row>
    <row r="5" spans="1:14">
      <c r="A5" s="18" t="s">
        <v>161</v>
      </c>
      <c r="B5" s="18" t="s">
        <v>162</v>
      </c>
      <c r="F5" s="41" t="s">
        <v>256</v>
      </c>
      <c r="H5" s="41" t="s">
        <v>257</v>
      </c>
      <c r="I5" s="18" t="s">
        <v>161</v>
      </c>
      <c r="J5" s="41" t="s">
        <v>257</v>
      </c>
      <c r="N5" t="s">
        <v>260</v>
      </c>
    </row>
    <row r="6" spans="1:14">
      <c r="A6" s="18" t="s">
        <v>163</v>
      </c>
      <c r="B6" s="18" t="s">
        <v>164</v>
      </c>
      <c r="F6" s="41" t="s">
        <v>256</v>
      </c>
      <c r="H6" s="41" t="s">
        <v>257</v>
      </c>
      <c r="I6" s="18" t="s">
        <v>163</v>
      </c>
      <c r="J6" s="41" t="s">
        <v>257</v>
      </c>
      <c r="N6" t="s">
        <v>261</v>
      </c>
    </row>
    <row r="7" spans="1:14">
      <c r="A7" s="18" t="s">
        <v>165</v>
      </c>
      <c r="B7" s="18" t="s">
        <v>166</v>
      </c>
      <c r="F7" s="41" t="s">
        <v>256</v>
      </c>
      <c r="H7" s="41" t="s">
        <v>257</v>
      </c>
      <c r="I7" s="18" t="s">
        <v>165</v>
      </c>
      <c r="J7" s="41" t="s">
        <v>257</v>
      </c>
      <c r="N7" t="s">
        <v>262</v>
      </c>
    </row>
    <row r="8" spans="1:14">
      <c r="A8" s="18" t="s">
        <v>169</v>
      </c>
      <c r="B8" s="18" t="s">
        <v>170</v>
      </c>
      <c r="F8" s="41" t="s">
        <v>256</v>
      </c>
      <c r="H8" s="41" t="s">
        <v>257</v>
      </c>
      <c r="I8" s="18" t="s">
        <v>169</v>
      </c>
      <c r="J8" s="41" t="s">
        <v>257</v>
      </c>
      <c r="N8" t="s">
        <v>263</v>
      </c>
    </row>
    <row r="9" spans="1:14">
      <c r="A9" s="18" t="s">
        <v>171</v>
      </c>
      <c r="B9" s="18" t="s">
        <v>172</v>
      </c>
      <c r="F9" s="41" t="s">
        <v>256</v>
      </c>
      <c r="H9" s="41" t="s">
        <v>257</v>
      </c>
      <c r="I9" s="18" t="s">
        <v>171</v>
      </c>
      <c r="J9" s="41" t="s">
        <v>257</v>
      </c>
      <c r="N9" t="s">
        <v>264</v>
      </c>
    </row>
    <row r="10" spans="1:14">
      <c r="A10" s="18" t="s">
        <v>173</v>
      </c>
      <c r="B10" s="18" t="s">
        <v>174</v>
      </c>
      <c r="F10" s="41" t="s">
        <v>256</v>
      </c>
      <c r="H10" s="41" t="s">
        <v>257</v>
      </c>
      <c r="I10" s="18" t="s">
        <v>173</v>
      </c>
      <c r="J10" s="41" t="s">
        <v>257</v>
      </c>
      <c r="N10" t="s">
        <v>265</v>
      </c>
    </row>
    <row r="11" spans="1:14">
      <c r="A11" s="18" t="s">
        <v>175</v>
      </c>
      <c r="B11" s="18" t="s">
        <v>176</v>
      </c>
      <c r="F11" s="41" t="s">
        <v>256</v>
      </c>
      <c r="H11" s="41" t="s">
        <v>257</v>
      </c>
      <c r="I11" s="18" t="s">
        <v>175</v>
      </c>
      <c r="J11" s="41" t="s">
        <v>257</v>
      </c>
      <c r="N11" t="s">
        <v>266</v>
      </c>
    </row>
    <row r="12" spans="1:14">
      <c r="A12" s="41" t="s">
        <v>177</v>
      </c>
      <c r="B12" s="41" t="s">
        <v>178</v>
      </c>
      <c r="F12" s="41" t="s">
        <v>256</v>
      </c>
      <c r="H12" s="41" t="s">
        <v>257</v>
      </c>
      <c r="I12" s="41" t="s">
        <v>177</v>
      </c>
      <c r="J12" s="41" t="s">
        <v>257</v>
      </c>
      <c r="N12" t="s">
        <v>267</v>
      </c>
    </row>
    <row r="13" spans="1:14">
      <c r="A13" s="41" t="s">
        <v>179</v>
      </c>
      <c r="B13" s="41" t="s">
        <v>180</v>
      </c>
      <c r="F13" s="41" t="s">
        <v>256</v>
      </c>
      <c r="H13" s="41" t="s">
        <v>257</v>
      </c>
      <c r="I13" s="41" t="s">
        <v>179</v>
      </c>
      <c r="J13" s="41" t="s">
        <v>257</v>
      </c>
      <c r="N13" t="s">
        <v>268</v>
      </c>
    </row>
    <row r="14" spans="1:14">
      <c r="A14" s="41" t="s">
        <v>181</v>
      </c>
      <c r="B14" s="41" t="s">
        <v>182</v>
      </c>
      <c r="F14" s="41" t="s">
        <v>256</v>
      </c>
      <c r="H14" s="41" t="s">
        <v>257</v>
      </c>
      <c r="I14" s="41" t="s">
        <v>181</v>
      </c>
      <c r="J14" s="41" t="s">
        <v>257</v>
      </c>
      <c r="N14" t="s">
        <v>269</v>
      </c>
    </row>
    <row r="15" spans="1:14">
      <c r="A15" s="41" t="s">
        <v>183</v>
      </c>
      <c r="B15" s="41" t="s">
        <v>184</v>
      </c>
      <c r="F15" s="41" t="s">
        <v>256</v>
      </c>
      <c r="H15" s="41" t="s">
        <v>257</v>
      </c>
      <c r="I15" s="41" t="s">
        <v>183</v>
      </c>
      <c r="J15" s="41" t="s">
        <v>257</v>
      </c>
      <c r="N15" t="s">
        <v>270</v>
      </c>
    </row>
    <row r="16" spans="1:14">
      <c r="A16" s="41" t="s">
        <v>185</v>
      </c>
      <c r="B16" s="41" t="s">
        <v>186</v>
      </c>
      <c r="F16" s="41" t="s">
        <v>256</v>
      </c>
      <c r="H16" s="41" t="s">
        <v>257</v>
      </c>
      <c r="I16" s="41" t="s">
        <v>185</v>
      </c>
      <c r="J16" s="41" t="s">
        <v>257</v>
      </c>
      <c r="N16" t="s">
        <v>271</v>
      </c>
    </row>
    <row r="17" spans="1:27">
      <c r="A17" s="41" t="s">
        <v>187</v>
      </c>
      <c r="B17" s="41" t="s">
        <v>188</v>
      </c>
      <c r="F17" s="41" t="s">
        <v>256</v>
      </c>
      <c r="H17" s="41" t="s">
        <v>257</v>
      </c>
      <c r="I17" s="41" t="s">
        <v>187</v>
      </c>
      <c r="J17" s="41" t="s">
        <v>257</v>
      </c>
      <c r="N17" t="s">
        <v>272</v>
      </c>
    </row>
    <row r="18" spans="1:27">
      <c r="A18" s="41" t="s">
        <v>189</v>
      </c>
      <c r="B18" s="41" t="s">
        <v>190</v>
      </c>
      <c r="F18" s="41" t="s">
        <v>256</v>
      </c>
      <c r="H18" s="41" t="s">
        <v>257</v>
      </c>
      <c r="I18" s="41" t="s">
        <v>189</v>
      </c>
      <c r="J18" s="41" t="s">
        <v>257</v>
      </c>
      <c r="N18" t="s">
        <v>273</v>
      </c>
    </row>
    <row r="19" spans="1:27">
      <c r="A19" s="41" t="s">
        <v>191</v>
      </c>
      <c r="B19" s="41" t="s">
        <v>192</v>
      </c>
      <c r="F19" s="41" t="s">
        <v>256</v>
      </c>
      <c r="H19" s="41" t="s">
        <v>257</v>
      </c>
      <c r="I19" s="41" t="s">
        <v>191</v>
      </c>
      <c r="J19" s="41" t="s">
        <v>257</v>
      </c>
      <c r="N19" t="s">
        <v>274</v>
      </c>
    </row>
    <row r="20" spans="1:27">
      <c r="A20" s="41" t="s">
        <v>193</v>
      </c>
      <c r="B20" s="41" t="s">
        <v>194</v>
      </c>
      <c r="F20" s="41" t="s">
        <v>256</v>
      </c>
      <c r="H20" s="41" t="s">
        <v>257</v>
      </c>
      <c r="I20" s="41" t="s">
        <v>193</v>
      </c>
      <c r="J20" s="41" t="s">
        <v>257</v>
      </c>
      <c r="N20" t="s">
        <v>275</v>
      </c>
    </row>
    <row r="21" spans="1:27">
      <c r="A21" s="41" t="s">
        <v>195</v>
      </c>
      <c r="B21" s="41" t="s">
        <v>196</v>
      </c>
      <c r="F21" s="41" t="s">
        <v>256</v>
      </c>
      <c r="H21" s="41" t="s">
        <v>257</v>
      </c>
      <c r="I21" s="41" t="s">
        <v>195</v>
      </c>
      <c r="J21" s="41" t="s">
        <v>257</v>
      </c>
      <c r="N21" t="s">
        <v>276</v>
      </c>
    </row>
    <row r="22" spans="1:27">
      <c r="A22" s="41" t="s">
        <v>197</v>
      </c>
      <c r="B22" s="41" t="s">
        <v>198</v>
      </c>
      <c r="F22" s="41" t="s">
        <v>256</v>
      </c>
      <c r="H22" s="41" t="s">
        <v>257</v>
      </c>
      <c r="I22" s="41" t="s">
        <v>197</v>
      </c>
      <c r="J22" s="41" t="s">
        <v>257</v>
      </c>
      <c r="N22" t="s">
        <v>277</v>
      </c>
    </row>
    <row r="23" spans="1:27">
      <c r="A23" s="41" t="s">
        <v>199</v>
      </c>
      <c r="B23" s="41" t="s">
        <v>200</v>
      </c>
      <c r="F23" s="41" t="s">
        <v>256</v>
      </c>
      <c r="H23" s="41" t="s">
        <v>257</v>
      </c>
      <c r="I23" s="41" t="s">
        <v>199</v>
      </c>
      <c r="J23" s="41" t="s">
        <v>257</v>
      </c>
      <c r="N23" t="s">
        <v>278</v>
      </c>
    </row>
    <row r="24" spans="1:27">
      <c r="A24" s="41" t="s">
        <v>203</v>
      </c>
      <c r="B24" s="41" t="s">
        <v>204</v>
      </c>
      <c r="F24" s="41" t="s">
        <v>256</v>
      </c>
      <c r="H24" s="41" t="s">
        <v>257</v>
      </c>
      <c r="I24" s="41" t="s">
        <v>167</v>
      </c>
      <c r="J24" s="41" t="s">
        <v>257</v>
      </c>
      <c r="N24" t="s">
        <v>279</v>
      </c>
    </row>
    <row r="25" spans="1:27">
      <c r="A25" s="41" t="s">
        <v>205</v>
      </c>
      <c r="B25" s="41" t="s">
        <v>206</v>
      </c>
      <c r="F25" s="41" t="s">
        <v>256</v>
      </c>
      <c r="H25" s="41" t="s">
        <v>257</v>
      </c>
      <c r="I25" s="41" t="s">
        <v>203</v>
      </c>
      <c r="J25" s="41" t="s">
        <v>257</v>
      </c>
      <c r="N25" t="s">
        <v>280</v>
      </c>
      <c r="V25" s="41" t="s">
        <v>255</v>
      </c>
      <c r="W25" t="s">
        <v>304</v>
      </c>
      <c r="X25" t="s">
        <v>305</v>
      </c>
      <c r="Y25" t="s">
        <v>306</v>
      </c>
      <c r="Z25" t="s">
        <v>307</v>
      </c>
      <c r="AA25" t="s">
        <v>308</v>
      </c>
    </row>
    <row r="26" spans="1:27">
      <c r="A26" s="41" t="s">
        <v>207</v>
      </c>
      <c r="B26" s="41" t="s">
        <v>208</v>
      </c>
      <c r="F26" s="41" t="s">
        <v>256</v>
      </c>
      <c r="H26" s="41" t="s">
        <v>257</v>
      </c>
      <c r="I26" s="41" t="s">
        <v>205</v>
      </c>
      <c r="J26" s="41" t="s">
        <v>257</v>
      </c>
      <c r="N26" t="s">
        <v>281</v>
      </c>
      <c r="V26" s="41">
        <v>1</v>
      </c>
      <c r="W26" s="41" t="s">
        <v>309</v>
      </c>
      <c r="X26" s="41" t="s">
        <v>157</v>
      </c>
      <c r="Y26" s="41" t="s">
        <v>302</v>
      </c>
    </row>
    <row r="27" spans="1:27">
      <c r="A27" s="41" t="s">
        <v>209</v>
      </c>
      <c r="B27" s="41" t="s">
        <v>210</v>
      </c>
      <c r="F27" s="41" t="s">
        <v>256</v>
      </c>
      <c r="H27" s="41" t="s">
        <v>257</v>
      </c>
      <c r="I27" s="41" t="s">
        <v>207</v>
      </c>
      <c r="J27" s="41" t="s">
        <v>257</v>
      </c>
      <c r="N27" t="s">
        <v>282</v>
      </c>
      <c r="V27" s="41">
        <v>1</v>
      </c>
      <c r="W27" s="41"/>
      <c r="X27" s="41"/>
      <c r="Y27" s="41" t="s">
        <v>303</v>
      </c>
      <c r="Z27" t="s">
        <v>158</v>
      </c>
      <c r="AA27" t="s">
        <v>257</v>
      </c>
    </row>
    <row r="28" spans="1:27">
      <c r="A28" s="41" t="s">
        <v>213</v>
      </c>
      <c r="B28" s="41" t="s">
        <v>214</v>
      </c>
      <c r="F28" s="41" t="s">
        <v>256</v>
      </c>
      <c r="H28" s="41" t="s">
        <v>257</v>
      </c>
      <c r="I28" s="41" t="s">
        <v>209</v>
      </c>
      <c r="J28" s="41" t="s">
        <v>257</v>
      </c>
      <c r="N28" t="s">
        <v>283</v>
      </c>
      <c r="V28" s="41">
        <v>2</v>
      </c>
      <c r="W28" s="41" t="s">
        <v>301</v>
      </c>
      <c r="X28" s="41" t="s">
        <v>159</v>
      </c>
      <c r="Y28" s="41" t="s">
        <v>302</v>
      </c>
    </row>
    <row r="29" spans="1:27">
      <c r="A29" s="41" t="s">
        <v>215</v>
      </c>
      <c r="B29" s="41" t="s">
        <v>216</v>
      </c>
      <c r="F29" s="41" t="s">
        <v>256</v>
      </c>
      <c r="H29" s="41" t="s">
        <v>257</v>
      </c>
      <c r="I29" s="41" t="s">
        <v>213</v>
      </c>
      <c r="J29" s="41" t="s">
        <v>257</v>
      </c>
      <c r="N29" t="s">
        <v>284</v>
      </c>
      <c r="V29" s="41">
        <v>2</v>
      </c>
      <c r="W29" s="41"/>
      <c r="X29" s="41"/>
      <c r="Y29" s="41" t="s">
        <v>303</v>
      </c>
      <c r="Z29" t="s">
        <v>160</v>
      </c>
      <c r="AA29" t="s">
        <v>257</v>
      </c>
    </row>
    <row r="30" spans="1:27">
      <c r="A30" s="41" t="s">
        <v>217</v>
      </c>
      <c r="B30" s="41" t="s">
        <v>218</v>
      </c>
      <c r="F30" s="41" t="s">
        <v>256</v>
      </c>
      <c r="H30" s="41" t="s">
        <v>257</v>
      </c>
      <c r="I30" s="41" t="s">
        <v>215</v>
      </c>
      <c r="J30" s="41" t="s">
        <v>257</v>
      </c>
      <c r="N30" t="s">
        <v>285</v>
      </c>
      <c r="V30" s="41">
        <v>3</v>
      </c>
      <c r="W30" s="41" t="s">
        <v>301</v>
      </c>
      <c r="X30" s="18" t="s">
        <v>161</v>
      </c>
      <c r="Y30" s="41" t="s">
        <v>302</v>
      </c>
    </row>
    <row r="31" spans="1:27">
      <c r="A31" s="41" t="s">
        <v>219</v>
      </c>
      <c r="B31" s="41" t="s">
        <v>220</v>
      </c>
      <c r="F31" s="41" t="s">
        <v>256</v>
      </c>
      <c r="H31" s="41" t="s">
        <v>257</v>
      </c>
      <c r="I31" s="41" t="s">
        <v>217</v>
      </c>
      <c r="J31" s="41" t="s">
        <v>257</v>
      </c>
      <c r="N31" t="s">
        <v>286</v>
      </c>
      <c r="V31" s="41">
        <v>3</v>
      </c>
      <c r="W31" s="41"/>
      <c r="X31" s="41"/>
      <c r="Y31" s="41" t="s">
        <v>303</v>
      </c>
      <c r="Z31" s="18" t="s">
        <v>162</v>
      </c>
      <c r="AA31" t="s">
        <v>257</v>
      </c>
    </row>
    <row r="32" spans="1:27">
      <c r="A32" s="41" t="s">
        <v>222</v>
      </c>
      <c r="B32" s="41" t="s">
        <v>223</v>
      </c>
      <c r="F32" s="41" t="s">
        <v>256</v>
      </c>
      <c r="H32" s="41" t="s">
        <v>257</v>
      </c>
      <c r="I32" s="41" t="s">
        <v>219</v>
      </c>
      <c r="J32" s="41" t="s">
        <v>257</v>
      </c>
      <c r="N32" t="s">
        <v>287</v>
      </c>
      <c r="V32" s="41">
        <v>4</v>
      </c>
      <c r="W32" s="41" t="s">
        <v>301</v>
      </c>
      <c r="X32" s="18" t="s">
        <v>163</v>
      </c>
      <c r="Y32" s="41" t="s">
        <v>302</v>
      </c>
    </row>
    <row r="33" spans="1:35">
      <c r="A33" s="41" t="s">
        <v>224</v>
      </c>
      <c r="B33" s="41" t="s">
        <v>225</v>
      </c>
      <c r="F33" s="41" t="s">
        <v>256</v>
      </c>
      <c r="H33" s="41" t="s">
        <v>257</v>
      </c>
      <c r="I33" s="41" t="s">
        <v>222</v>
      </c>
      <c r="J33" s="41" t="s">
        <v>257</v>
      </c>
      <c r="N33" t="s">
        <v>288</v>
      </c>
      <c r="V33" s="41">
        <v>4</v>
      </c>
      <c r="W33" s="41"/>
      <c r="X33" s="41"/>
      <c r="Y33" s="41" t="s">
        <v>303</v>
      </c>
      <c r="Z33" s="18" t="s">
        <v>164</v>
      </c>
      <c r="AA33" t="s">
        <v>257</v>
      </c>
    </row>
    <row r="34" spans="1:35">
      <c r="A34" s="41" t="s">
        <v>226</v>
      </c>
      <c r="B34" s="41" t="s">
        <v>227</v>
      </c>
      <c r="F34" s="41" t="s">
        <v>256</v>
      </c>
      <c r="H34" s="41" t="s">
        <v>257</v>
      </c>
      <c r="I34" s="41" t="s">
        <v>224</v>
      </c>
      <c r="J34" s="41" t="s">
        <v>257</v>
      </c>
      <c r="N34" t="s">
        <v>289</v>
      </c>
      <c r="V34" s="41">
        <v>5</v>
      </c>
      <c r="W34" s="41" t="s">
        <v>301</v>
      </c>
      <c r="X34" s="18" t="s">
        <v>165</v>
      </c>
      <c r="Y34" s="41" t="s">
        <v>302</v>
      </c>
    </row>
    <row r="35" spans="1:35">
      <c r="A35" s="41" t="s">
        <v>228</v>
      </c>
      <c r="B35" s="41" t="s">
        <v>229</v>
      </c>
      <c r="F35" s="41" t="s">
        <v>256</v>
      </c>
      <c r="H35" s="41" t="s">
        <v>257</v>
      </c>
      <c r="I35" s="41" t="s">
        <v>226</v>
      </c>
      <c r="J35" s="41" t="s">
        <v>257</v>
      </c>
      <c r="N35" t="s">
        <v>290</v>
      </c>
      <c r="V35" s="41">
        <v>5</v>
      </c>
      <c r="W35" s="41"/>
      <c r="X35" s="41"/>
      <c r="Y35" s="41" t="s">
        <v>303</v>
      </c>
      <c r="Z35" s="18" t="s">
        <v>166</v>
      </c>
      <c r="AA35" t="s">
        <v>257</v>
      </c>
      <c r="AH35" t="s">
        <v>310</v>
      </c>
    </row>
    <row r="36" spans="1:35">
      <c r="A36" s="41" t="s">
        <v>230</v>
      </c>
      <c r="B36" s="41" t="s">
        <v>231</v>
      </c>
      <c r="F36" s="41" t="s">
        <v>256</v>
      </c>
      <c r="H36" s="41" t="s">
        <v>257</v>
      </c>
      <c r="I36" s="41" t="s">
        <v>228</v>
      </c>
      <c r="J36" s="41" t="s">
        <v>257</v>
      </c>
      <c r="N36" t="s">
        <v>291</v>
      </c>
      <c r="V36" s="41">
        <v>6</v>
      </c>
      <c r="W36" s="41" t="s">
        <v>301</v>
      </c>
      <c r="X36" s="18" t="s">
        <v>169</v>
      </c>
      <c r="Y36" s="41" t="s">
        <v>302</v>
      </c>
      <c r="AI36" t="s">
        <v>311</v>
      </c>
    </row>
    <row r="37" spans="1:35">
      <c r="A37" s="41" t="s">
        <v>234</v>
      </c>
      <c r="B37" s="41" t="s">
        <v>235</v>
      </c>
      <c r="F37" s="41" t="s">
        <v>256</v>
      </c>
      <c r="H37" s="41" t="s">
        <v>257</v>
      </c>
      <c r="I37" s="41" t="s">
        <v>230</v>
      </c>
      <c r="J37" s="41" t="s">
        <v>257</v>
      </c>
      <c r="N37" t="s">
        <v>292</v>
      </c>
      <c r="V37" s="41">
        <v>6</v>
      </c>
      <c r="W37" s="41"/>
      <c r="X37" s="41"/>
      <c r="Y37" s="41" t="s">
        <v>303</v>
      </c>
      <c r="Z37" s="18" t="s">
        <v>170</v>
      </c>
      <c r="AA37" t="s">
        <v>257</v>
      </c>
      <c r="AH37" t="s">
        <v>312</v>
      </c>
    </row>
    <row r="38" spans="1:35">
      <c r="A38" s="41" t="s">
        <v>236</v>
      </c>
      <c r="B38" s="41" t="s">
        <v>237</v>
      </c>
      <c r="F38" s="41" t="s">
        <v>256</v>
      </c>
      <c r="H38" s="41" t="s">
        <v>257</v>
      </c>
      <c r="I38" s="41" t="s">
        <v>234</v>
      </c>
      <c r="J38" s="41" t="s">
        <v>257</v>
      </c>
      <c r="N38" t="s">
        <v>293</v>
      </c>
      <c r="V38" s="41">
        <v>7</v>
      </c>
      <c r="W38" s="41" t="s">
        <v>301</v>
      </c>
      <c r="X38" s="18" t="s">
        <v>171</v>
      </c>
      <c r="Y38" s="41" t="s">
        <v>302</v>
      </c>
      <c r="AI38" t="s">
        <v>313</v>
      </c>
    </row>
    <row r="39" spans="1:35">
      <c r="A39" s="41" t="s">
        <v>238</v>
      </c>
      <c r="B39" s="41" t="s">
        <v>239</v>
      </c>
      <c r="F39" s="41" t="s">
        <v>256</v>
      </c>
      <c r="H39" s="41" t="s">
        <v>257</v>
      </c>
      <c r="I39" s="41" t="s">
        <v>236</v>
      </c>
      <c r="J39" s="41" t="s">
        <v>257</v>
      </c>
      <c r="N39" t="s">
        <v>294</v>
      </c>
      <c r="V39" s="41">
        <v>7</v>
      </c>
      <c r="W39" s="41"/>
      <c r="X39" s="41"/>
      <c r="Y39" s="41" t="s">
        <v>303</v>
      </c>
      <c r="Z39" s="18" t="s">
        <v>172</v>
      </c>
      <c r="AA39" t="s">
        <v>257</v>
      </c>
      <c r="AH39" t="s">
        <v>314</v>
      </c>
    </row>
    <row r="40" spans="1:35">
      <c r="A40" s="41" t="s">
        <v>240</v>
      </c>
      <c r="B40" s="41" t="s">
        <v>241</v>
      </c>
      <c r="F40" s="41" t="s">
        <v>256</v>
      </c>
      <c r="H40" s="41" t="s">
        <v>257</v>
      </c>
      <c r="I40" s="41" t="s">
        <v>238</v>
      </c>
      <c r="J40" s="41" t="s">
        <v>257</v>
      </c>
      <c r="N40" t="s">
        <v>295</v>
      </c>
      <c r="V40" s="41">
        <v>8</v>
      </c>
      <c r="W40" s="41" t="s">
        <v>301</v>
      </c>
      <c r="X40" s="18" t="s">
        <v>173</v>
      </c>
      <c r="Y40" s="41" t="s">
        <v>302</v>
      </c>
      <c r="AI40" t="s">
        <v>315</v>
      </c>
    </row>
    <row r="41" spans="1:35">
      <c r="A41" s="41" t="s">
        <v>244</v>
      </c>
      <c r="B41" s="41" t="s">
        <v>245</v>
      </c>
      <c r="F41" s="41" t="s">
        <v>256</v>
      </c>
      <c r="H41" s="41" t="s">
        <v>257</v>
      </c>
      <c r="I41" s="41" t="s">
        <v>240</v>
      </c>
      <c r="J41" s="41" t="s">
        <v>257</v>
      </c>
      <c r="N41" t="s">
        <v>296</v>
      </c>
      <c r="V41" s="41">
        <v>8</v>
      </c>
      <c r="W41" s="41"/>
      <c r="X41" s="41"/>
      <c r="Y41" s="41" t="s">
        <v>303</v>
      </c>
      <c r="Z41" s="18" t="s">
        <v>174</v>
      </c>
      <c r="AA41" t="s">
        <v>257</v>
      </c>
      <c r="AH41" t="s">
        <v>316</v>
      </c>
    </row>
    <row r="42" spans="1:35">
      <c r="A42" s="41" t="s">
        <v>246</v>
      </c>
      <c r="B42" s="41" t="s">
        <v>247</v>
      </c>
      <c r="F42" s="41" t="s">
        <v>256</v>
      </c>
      <c r="H42" s="41" t="s">
        <v>257</v>
      </c>
      <c r="I42" s="41" t="s">
        <v>244</v>
      </c>
      <c r="J42" s="41" t="s">
        <v>257</v>
      </c>
      <c r="N42" t="s">
        <v>297</v>
      </c>
      <c r="V42" s="41">
        <v>9</v>
      </c>
      <c r="W42" s="41" t="s">
        <v>301</v>
      </c>
      <c r="X42" s="18" t="s">
        <v>175</v>
      </c>
      <c r="Y42" s="41" t="s">
        <v>302</v>
      </c>
      <c r="AI42" t="s">
        <v>317</v>
      </c>
    </row>
    <row r="43" spans="1:35">
      <c r="A43" s="41" t="s">
        <v>249</v>
      </c>
      <c r="B43" s="41" t="s">
        <v>250</v>
      </c>
      <c r="F43" s="41" t="s">
        <v>256</v>
      </c>
      <c r="H43" s="41" t="s">
        <v>257</v>
      </c>
      <c r="I43" s="41" t="s">
        <v>246</v>
      </c>
      <c r="J43" s="41" t="s">
        <v>257</v>
      </c>
      <c r="N43" t="s">
        <v>298</v>
      </c>
      <c r="V43" s="41">
        <v>9</v>
      </c>
      <c r="W43" s="41"/>
      <c r="X43" s="41"/>
      <c r="Y43" s="41" t="s">
        <v>303</v>
      </c>
      <c r="Z43" s="18" t="s">
        <v>176</v>
      </c>
      <c r="AA43" t="s">
        <v>257</v>
      </c>
      <c r="AH43" t="s">
        <v>318</v>
      </c>
    </row>
    <row r="44" spans="1:35">
      <c r="A44" s="41" t="s">
        <v>251</v>
      </c>
      <c r="B44" s="41" t="s">
        <v>252</v>
      </c>
      <c r="F44" s="41" t="s">
        <v>256</v>
      </c>
      <c r="H44" s="41" t="s">
        <v>257</v>
      </c>
      <c r="I44" s="41" t="s">
        <v>249</v>
      </c>
      <c r="J44" s="41" t="s">
        <v>257</v>
      </c>
      <c r="N44" t="s">
        <v>299</v>
      </c>
      <c r="V44" s="41">
        <v>10</v>
      </c>
      <c r="W44" s="41" t="s">
        <v>301</v>
      </c>
      <c r="X44" s="41" t="s">
        <v>177</v>
      </c>
      <c r="Y44" s="41" t="s">
        <v>302</v>
      </c>
      <c r="AI44" t="s">
        <v>319</v>
      </c>
    </row>
    <row r="45" spans="1:35">
      <c r="A45" s="41" t="s">
        <v>167</v>
      </c>
      <c r="B45" s="41" t="s">
        <v>253</v>
      </c>
      <c r="F45" s="41" t="s">
        <v>256</v>
      </c>
      <c r="H45" s="41" t="s">
        <v>257</v>
      </c>
      <c r="I45" s="41" t="s">
        <v>251</v>
      </c>
      <c r="J45" s="41" t="s">
        <v>257</v>
      </c>
      <c r="N45" t="s">
        <v>300</v>
      </c>
      <c r="V45" s="41">
        <v>10</v>
      </c>
      <c r="W45" s="41"/>
      <c r="X45" s="41"/>
      <c r="Y45" s="41" t="s">
        <v>303</v>
      </c>
      <c r="Z45" t="s">
        <v>178</v>
      </c>
      <c r="AA45" t="s">
        <v>257</v>
      </c>
      <c r="AH45" t="s">
        <v>320</v>
      </c>
    </row>
    <row r="46" spans="1:35">
      <c r="F46" s="41" t="s">
        <v>256</v>
      </c>
      <c r="H46" s="41" t="s">
        <v>257</v>
      </c>
      <c r="I46" s="41" t="s">
        <v>167</v>
      </c>
      <c r="J46" s="41" t="s">
        <v>257</v>
      </c>
      <c r="N46" t="s">
        <v>279</v>
      </c>
      <c r="V46" s="41">
        <v>11</v>
      </c>
      <c r="W46" s="41" t="s">
        <v>301</v>
      </c>
      <c r="X46" s="41" t="s">
        <v>179</v>
      </c>
      <c r="Y46" s="41" t="s">
        <v>302</v>
      </c>
      <c r="AI46" t="s">
        <v>321</v>
      </c>
    </row>
    <row r="47" spans="1:35">
      <c r="B47" s="41"/>
      <c r="V47" s="41">
        <v>11</v>
      </c>
      <c r="W47" s="41"/>
      <c r="X47" s="41"/>
      <c r="Y47" s="41" t="s">
        <v>303</v>
      </c>
      <c r="Z47" t="s">
        <v>180</v>
      </c>
      <c r="AA47" t="s">
        <v>257</v>
      </c>
      <c r="AH47" t="s">
        <v>322</v>
      </c>
    </row>
    <row r="48" spans="1:35">
      <c r="D48" s="41"/>
      <c r="V48" s="41">
        <v>12</v>
      </c>
      <c r="W48" s="41" t="s">
        <v>301</v>
      </c>
      <c r="X48" s="41" t="s">
        <v>181</v>
      </c>
      <c r="Y48" s="41" t="s">
        <v>302</v>
      </c>
      <c r="AI48" t="s">
        <v>323</v>
      </c>
    </row>
    <row r="49" spans="2:35">
      <c r="V49" s="41">
        <v>12</v>
      </c>
      <c r="W49" s="41"/>
      <c r="X49" s="41"/>
      <c r="Y49" s="41" t="s">
        <v>303</v>
      </c>
      <c r="Z49" t="s">
        <v>182</v>
      </c>
      <c r="AA49" t="s">
        <v>257</v>
      </c>
      <c r="AH49" t="s">
        <v>324</v>
      </c>
    </row>
    <row r="50" spans="2:35">
      <c r="B50" s="41"/>
      <c r="V50" s="41">
        <v>13</v>
      </c>
      <c r="W50" s="41" t="s">
        <v>301</v>
      </c>
      <c r="X50" s="41" t="s">
        <v>183</v>
      </c>
      <c r="Y50" s="41" t="s">
        <v>302</v>
      </c>
      <c r="AI50" t="s">
        <v>325</v>
      </c>
    </row>
    <row r="51" spans="2:35">
      <c r="D51" s="41"/>
      <c r="V51" s="41">
        <v>13</v>
      </c>
      <c r="W51" s="41"/>
      <c r="X51" s="41"/>
      <c r="Y51" s="41" t="s">
        <v>303</v>
      </c>
      <c r="Z51" t="s">
        <v>184</v>
      </c>
      <c r="AA51" t="s">
        <v>257</v>
      </c>
      <c r="AH51" t="s">
        <v>326</v>
      </c>
    </row>
    <row r="52" spans="2:35">
      <c r="V52" s="41">
        <v>14</v>
      </c>
      <c r="W52" s="41" t="s">
        <v>301</v>
      </c>
      <c r="X52" s="41" t="s">
        <v>185</v>
      </c>
      <c r="Y52" s="41" t="s">
        <v>302</v>
      </c>
      <c r="AI52" t="s">
        <v>327</v>
      </c>
    </row>
    <row r="53" spans="2:35">
      <c r="B53">
        <v>1</v>
      </c>
      <c r="C53" t="s">
        <v>301</v>
      </c>
      <c r="D53" s="41" t="s">
        <v>157</v>
      </c>
      <c r="E53" t="s">
        <v>302</v>
      </c>
      <c r="G53">
        <v>1</v>
      </c>
      <c r="H53" t="s">
        <v>303</v>
      </c>
      <c r="I53" s="41" t="s">
        <v>158</v>
      </c>
      <c r="J53" t="s">
        <v>257</v>
      </c>
      <c r="V53" s="41">
        <v>14</v>
      </c>
      <c r="W53" s="41"/>
      <c r="X53" s="41"/>
      <c r="Y53" s="41" t="s">
        <v>303</v>
      </c>
      <c r="Z53" t="s">
        <v>186</v>
      </c>
      <c r="AA53" t="s">
        <v>257</v>
      </c>
      <c r="AH53" t="s">
        <v>328</v>
      </c>
    </row>
    <row r="54" spans="2:35">
      <c r="B54" s="41">
        <v>2</v>
      </c>
      <c r="C54" s="41" t="s">
        <v>301</v>
      </c>
      <c r="D54" s="41" t="s">
        <v>159</v>
      </c>
      <c r="E54" s="41" t="s">
        <v>302</v>
      </c>
      <c r="F54" s="41"/>
      <c r="G54" s="41">
        <v>2</v>
      </c>
      <c r="H54" s="41" t="s">
        <v>303</v>
      </c>
      <c r="I54" s="41" t="s">
        <v>160</v>
      </c>
      <c r="J54" s="41" t="s">
        <v>257</v>
      </c>
      <c r="V54" s="41">
        <v>15</v>
      </c>
      <c r="W54" s="41" t="s">
        <v>301</v>
      </c>
      <c r="X54" s="41" t="s">
        <v>187</v>
      </c>
      <c r="Y54" s="41" t="s">
        <v>302</v>
      </c>
      <c r="AI54" t="s">
        <v>329</v>
      </c>
    </row>
    <row r="55" spans="2:35">
      <c r="B55" s="41">
        <v>3</v>
      </c>
      <c r="C55" s="41" t="s">
        <v>301</v>
      </c>
      <c r="D55" s="18" t="s">
        <v>161</v>
      </c>
      <c r="E55" s="41" t="s">
        <v>302</v>
      </c>
      <c r="F55" s="41"/>
      <c r="G55" s="41">
        <v>3</v>
      </c>
      <c r="H55" s="41" t="s">
        <v>303</v>
      </c>
      <c r="I55" s="18" t="s">
        <v>162</v>
      </c>
      <c r="J55" s="41" t="s">
        <v>257</v>
      </c>
      <c r="V55" s="41">
        <v>15</v>
      </c>
      <c r="W55" s="41"/>
      <c r="X55" s="41"/>
      <c r="Y55" s="41" t="s">
        <v>303</v>
      </c>
      <c r="Z55" t="s">
        <v>188</v>
      </c>
      <c r="AA55" t="s">
        <v>257</v>
      </c>
      <c r="AH55" t="s">
        <v>330</v>
      </c>
    </row>
    <row r="56" spans="2:35">
      <c r="B56" s="41">
        <v>4</v>
      </c>
      <c r="C56" s="41" t="s">
        <v>301</v>
      </c>
      <c r="D56" s="18" t="s">
        <v>163</v>
      </c>
      <c r="E56" s="41" t="s">
        <v>302</v>
      </c>
      <c r="F56" s="41"/>
      <c r="G56" s="41">
        <v>4</v>
      </c>
      <c r="H56" s="41" t="s">
        <v>303</v>
      </c>
      <c r="I56" s="18" t="s">
        <v>164</v>
      </c>
      <c r="J56" s="41" t="s">
        <v>257</v>
      </c>
      <c r="V56" s="41">
        <v>16</v>
      </c>
      <c r="W56" s="41" t="s">
        <v>301</v>
      </c>
      <c r="X56" s="41" t="s">
        <v>189</v>
      </c>
      <c r="Y56" s="41" t="s">
        <v>302</v>
      </c>
      <c r="AI56" t="s">
        <v>331</v>
      </c>
    </row>
    <row r="57" spans="2:35">
      <c r="B57" s="41">
        <v>5</v>
      </c>
      <c r="C57" s="41" t="s">
        <v>301</v>
      </c>
      <c r="D57" s="18" t="s">
        <v>165</v>
      </c>
      <c r="E57" s="41" t="s">
        <v>302</v>
      </c>
      <c r="F57" s="41"/>
      <c r="G57" s="41">
        <v>5</v>
      </c>
      <c r="H57" s="41" t="s">
        <v>303</v>
      </c>
      <c r="I57" s="18" t="s">
        <v>166</v>
      </c>
      <c r="J57" s="41" t="s">
        <v>257</v>
      </c>
      <c r="V57" s="41">
        <v>16</v>
      </c>
      <c r="W57" s="41"/>
      <c r="X57" s="41"/>
      <c r="Y57" s="41" t="s">
        <v>303</v>
      </c>
      <c r="Z57" t="s">
        <v>190</v>
      </c>
      <c r="AA57" t="s">
        <v>257</v>
      </c>
      <c r="AH57" t="s">
        <v>332</v>
      </c>
    </row>
    <row r="58" spans="2:35">
      <c r="B58" s="41">
        <v>6</v>
      </c>
      <c r="C58" s="41" t="s">
        <v>301</v>
      </c>
      <c r="D58" s="18" t="s">
        <v>169</v>
      </c>
      <c r="E58" s="41" t="s">
        <v>302</v>
      </c>
      <c r="F58" s="41"/>
      <c r="G58" s="41">
        <v>6</v>
      </c>
      <c r="H58" s="41" t="s">
        <v>303</v>
      </c>
      <c r="I58" s="18" t="s">
        <v>170</v>
      </c>
      <c r="J58" s="41" t="s">
        <v>257</v>
      </c>
      <c r="V58" s="41">
        <v>17</v>
      </c>
      <c r="W58" s="41" t="s">
        <v>301</v>
      </c>
      <c r="X58" s="41" t="s">
        <v>191</v>
      </c>
      <c r="Y58" s="41" t="s">
        <v>302</v>
      </c>
      <c r="AI58" t="s">
        <v>333</v>
      </c>
    </row>
    <row r="59" spans="2:35">
      <c r="B59" s="41">
        <v>7</v>
      </c>
      <c r="C59" s="41" t="s">
        <v>301</v>
      </c>
      <c r="D59" s="18" t="s">
        <v>171</v>
      </c>
      <c r="E59" s="41" t="s">
        <v>302</v>
      </c>
      <c r="F59" s="41"/>
      <c r="G59" s="41">
        <v>7</v>
      </c>
      <c r="H59" s="41" t="s">
        <v>303</v>
      </c>
      <c r="I59" s="18" t="s">
        <v>172</v>
      </c>
      <c r="J59" s="41" t="s">
        <v>257</v>
      </c>
      <c r="V59" s="41">
        <v>17</v>
      </c>
      <c r="W59" s="41"/>
      <c r="X59" s="41"/>
      <c r="Y59" s="41" t="s">
        <v>303</v>
      </c>
      <c r="Z59" t="s">
        <v>192</v>
      </c>
      <c r="AA59" t="s">
        <v>257</v>
      </c>
      <c r="AH59" t="s">
        <v>334</v>
      </c>
    </row>
    <row r="60" spans="2:35">
      <c r="B60" s="41">
        <v>8</v>
      </c>
      <c r="C60" s="41" t="s">
        <v>301</v>
      </c>
      <c r="D60" s="18" t="s">
        <v>173</v>
      </c>
      <c r="E60" s="41" t="s">
        <v>302</v>
      </c>
      <c r="F60" s="41"/>
      <c r="G60" s="41">
        <v>8</v>
      </c>
      <c r="H60" s="41" t="s">
        <v>303</v>
      </c>
      <c r="I60" s="18" t="s">
        <v>174</v>
      </c>
      <c r="J60" s="41" t="s">
        <v>257</v>
      </c>
      <c r="V60" s="41">
        <v>18</v>
      </c>
      <c r="W60" s="41" t="s">
        <v>301</v>
      </c>
      <c r="X60" s="41" t="s">
        <v>193</v>
      </c>
      <c r="Y60" s="41" t="s">
        <v>302</v>
      </c>
      <c r="AI60" t="s">
        <v>335</v>
      </c>
    </row>
    <row r="61" spans="2:35">
      <c r="B61" s="41">
        <v>9</v>
      </c>
      <c r="C61" s="41" t="s">
        <v>301</v>
      </c>
      <c r="D61" s="18" t="s">
        <v>175</v>
      </c>
      <c r="E61" s="41" t="s">
        <v>302</v>
      </c>
      <c r="F61" s="41"/>
      <c r="G61" s="41">
        <v>9</v>
      </c>
      <c r="H61" s="41" t="s">
        <v>303</v>
      </c>
      <c r="I61" s="18" t="s">
        <v>176</v>
      </c>
      <c r="J61" s="41" t="s">
        <v>257</v>
      </c>
      <c r="V61" s="41">
        <v>18</v>
      </c>
      <c r="W61" s="41"/>
      <c r="X61" s="41"/>
      <c r="Y61" s="41" t="s">
        <v>303</v>
      </c>
      <c r="Z61" t="s">
        <v>194</v>
      </c>
      <c r="AA61" t="s">
        <v>257</v>
      </c>
      <c r="AH61" t="s">
        <v>336</v>
      </c>
    </row>
    <row r="62" spans="2:35">
      <c r="B62" s="41">
        <v>10</v>
      </c>
      <c r="C62" s="41" t="s">
        <v>301</v>
      </c>
      <c r="D62" s="41" t="s">
        <v>177</v>
      </c>
      <c r="E62" s="41" t="s">
        <v>302</v>
      </c>
      <c r="F62" s="41"/>
      <c r="G62" s="41">
        <v>10</v>
      </c>
      <c r="H62" s="41" t="s">
        <v>303</v>
      </c>
      <c r="I62" s="41" t="s">
        <v>178</v>
      </c>
      <c r="J62" s="41" t="s">
        <v>257</v>
      </c>
      <c r="V62" s="41">
        <v>19</v>
      </c>
      <c r="W62" s="41" t="s">
        <v>301</v>
      </c>
      <c r="X62" s="41" t="s">
        <v>195</v>
      </c>
      <c r="Y62" s="41" t="s">
        <v>302</v>
      </c>
      <c r="AI62" t="s">
        <v>337</v>
      </c>
    </row>
    <row r="63" spans="2:35">
      <c r="B63" s="41">
        <v>11</v>
      </c>
      <c r="C63" s="41" t="s">
        <v>301</v>
      </c>
      <c r="D63" s="41" t="s">
        <v>179</v>
      </c>
      <c r="E63" s="41" t="s">
        <v>302</v>
      </c>
      <c r="F63" s="41"/>
      <c r="G63" s="41">
        <v>11</v>
      </c>
      <c r="H63" s="41" t="s">
        <v>303</v>
      </c>
      <c r="I63" s="41" t="s">
        <v>180</v>
      </c>
      <c r="J63" s="41" t="s">
        <v>257</v>
      </c>
      <c r="V63" s="41">
        <v>19</v>
      </c>
      <c r="W63" s="41"/>
      <c r="X63" s="41"/>
      <c r="Y63" s="41" t="s">
        <v>303</v>
      </c>
      <c r="Z63" t="s">
        <v>196</v>
      </c>
      <c r="AA63" t="s">
        <v>257</v>
      </c>
      <c r="AH63" t="s">
        <v>338</v>
      </c>
    </row>
    <row r="64" spans="2:35">
      <c r="B64" s="41">
        <v>12</v>
      </c>
      <c r="C64" s="41" t="s">
        <v>301</v>
      </c>
      <c r="D64" s="41" t="s">
        <v>181</v>
      </c>
      <c r="E64" s="41" t="s">
        <v>302</v>
      </c>
      <c r="F64" s="41"/>
      <c r="G64" s="41">
        <v>12</v>
      </c>
      <c r="H64" s="41" t="s">
        <v>303</v>
      </c>
      <c r="I64" s="41" t="s">
        <v>182</v>
      </c>
      <c r="J64" s="41" t="s">
        <v>257</v>
      </c>
      <c r="V64" s="41">
        <v>20</v>
      </c>
      <c r="W64" s="41" t="s">
        <v>301</v>
      </c>
      <c r="X64" s="41" t="s">
        <v>197</v>
      </c>
      <c r="Y64" s="41" t="s">
        <v>302</v>
      </c>
      <c r="AI64" t="s">
        <v>339</v>
      </c>
    </row>
    <row r="65" spans="2:35">
      <c r="B65" s="41">
        <v>13</v>
      </c>
      <c r="C65" s="41" t="s">
        <v>301</v>
      </c>
      <c r="D65" s="41" t="s">
        <v>183</v>
      </c>
      <c r="E65" s="41" t="s">
        <v>302</v>
      </c>
      <c r="F65" s="41"/>
      <c r="G65" s="41">
        <v>13</v>
      </c>
      <c r="H65" s="41" t="s">
        <v>303</v>
      </c>
      <c r="I65" s="41" t="s">
        <v>184</v>
      </c>
      <c r="J65" s="41" t="s">
        <v>257</v>
      </c>
      <c r="V65" s="41">
        <v>20</v>
      </c>
      <c r="W65" s="41"/>
      <c r="X65" s="41"/>
      <c r="Y65" s="41" t="s">
        <v>303</v>
      </c>
      <c r="Z65" t="s">
        <v>198</v>
      </c>
      <c r="AA65" t="s">
        <v>257</v>
      </c>
      <c r="AH65" t="s">
        <v>340</v>
      </c>
    </row>
    <row r="66" spans="2:35">
      <c r="B66" s="41">
        <v>14</v>
      </c>
      <c r="C66" s="41" t="s">
        <v>301</v>
      </c>
      <c r="D66" s="41" t="s">
        <v>185</v>
      </c>
      <c r="E66" s="41" t="s">
        <v>302</v>
      </c>
      <c r="F66" s="41"/>
      <c r="G66" s="41">
        <v>14</v>
      </c>
      <c r="H66" s="41" t="s">
        <v>303</v>
      </c>
      <c r="I66" s="41" t="s">
        <v>186</v>
      </c>
      <c r="J66" s="41" t="s">
        <v>257</v>
      </c>
      <c r="V66" s="41">
        <v>21</v>
      </c>
      <c r="W66" s="41" t="s">
        <v>301</v>
      </c>
      <c r="X66" s="41" t="s">
        <v>199</v>
      </c>
      <c r="Y66" s="41" t="s">
        <v>302</v>
      </c>
      <c r="AI66" t="s">
        <v>341</v>
      </c>
    </row>
    <row r="67" spans="2:35">
      <c r="B67" s="41">
        <v>15</v>
      </c>
      <c r="C67" s="41" t="s">
        <v>301</v>
      </c>
      <c r="D67" s="41" t="s">
        <v>187</v>
      </c>
      <c r="E67" s="41" t="s">
        <v>302</v>
      </c>
      <c r="F67" s="41"/>
      <c r="G67" s="41">
        <v>15</v>
      </c>
      <c r="H67" s="41" t="s">
        <v>303</v>
      </c>
      <c r="I67" s="41" t="s">
        <v>188</v>
      </c>
      <c r="J67" s="41" t="s">
        <v>257</v>
      </c>
      <c r="V67" s="41">
        <v>21</v>
      </c>
      <c r="W67" s="41"/>
      <c r="X67" s="41"/>
      <c r="Y67" s="41" t="s">
        <v>303</v>
      </c>
      <c r="Z67" t="s">
        <v>200</v>
      </c>
      <c r="AA67" t="s">
        <v>257</v>
      </c>
      <c r="AH67" t="s">
        <v>342</v>
      </c>
    </row>
    <row r="68" spans="2:35">
      <c r="B68" s="41">
        <v>16</v>
      </c>
      <c r="C68" s="41" t="s">
        <v>301</v>
      </c>
      <c r="D68" s="41" t="s">
        <v>189</v>
      </c>
      <c r="E68" s="41" t="s">
        <v>302</v>
      </c>
      <c r="F68" s="41"/>
      <c r="G68" s="41">
        <v>16</v>
      </c>
      <c r="H68" s="41" t="s">
        <v>303</v>
      </c>
      <c r="I68" s="41" t="s">
        <v>190</v>
      </c>
      <c r="J68" s="41" t="s">
        <v>257</v>
      </c>
      <c r="V68" s="41">
        <v>22</v>
      </c>
      <c r="W68" s="41" t="s">
        <v>301</v>
      </c>
      <c r="X68" s="41" t="s">
        <v>203</v>
      </c>
      <c r="Y68" s="41" t="s">
        <v>302</v>
      </c>
      <c r="AI68" t="s">
        <v>343</v>
      </c>
    </row>
    <row r="69" spans="2:35">
      <c r="B69" s="41">
        <v>17</v>
      </c>
      <c r="C69" s="41" t="s">
        <v>301</v>
      </c>
      <c r="D69" s="41" t="s">
        <v>191</v>
      </c>
      <c r="E69" s="41" t="s">
        <v>302</v>
      </c>
      <c r="F69" s="41"/>
      <c r="G69" s="41">
        <v>17</v>
      </c>
      <c r="H69" s="41" t="s">
        <v>303</v>
      </c>
      <c r="I69" s="41" t="s">
        <v>192</v>
      </c>
      <c r="J69" s="41" t="s">
        <v>257</v>
      </c>
      <c r="V69" s="41">
        <v>22</v>
      </c>
      <c r="Y69" s="41" t="s">
        <v>303</v>
      </c>
      <c r="Z69" s="41" t="s">
        <v>204</v>
      </c>
      <c r="AA69" s="41" t="s">
        <v>257</v>
      </c>
      <c r="AH69" t="s">
        <v>344</v>
      </c>
    </row>
    <row r="70" spans="2:35">
      <c r="B70" s="41">
        <v>18</v>
      </c>
      <c r="C70" s="41" t="s">
        <v>301</v>
      </c>
      <c r="D70" s="41" t="s">
        <v>193</v>
      </c>
      <c r="E70" s="41" t="s">
        <v>302</v>
      </c>
      <c r="F70" s="41"/>
      <c r="G70" s="41">
        <v>18</v>
      </c>
      <c r="H70" s="41" t="s">
        <v>303</v>
      </c>
      <c r="I70" s="41" t="s">
        <v>194</v>
      </c>
      <c r="J70" s="41" t="s">
        <v>257</v>
      </c>
      <c r="V70" s="41">
        <v>23</v>
      </c>
      <c r="W70" t="s">
        <v>301</v>
      </c>
      <c r="X70" t="s">
        <v>205</v>
      </c>
      <c r="Y70" s="41" t="s">
        <v>302</v>
      </c>
      <c r="Z70" s="41"/>
      <c r="AA70" s="41"/>
      <c r="AI70" t="s">
        <v>345</v>
      </c>
    </row>
    <row r="71" spans="2:35">
      <c r="B71" s="41">
        <v>19</v>
      </c>
      <c r="C71" s="41" t="s">
        <v>301</v>
      </c>
      <c r="D71" s="41" t="s">
        <v>195</v>
      </c>
      <c r="E71" s="41" t="s">
        <v>302</v>
      </c>
      <c r="F71" s="41"/>
      <c r="G71" s="41">
        <v>19</v>
      </c>
      <c r="H71" s="41" t="s">
        <v>303</v>
      </c>
      <c r="I71" s="41" t="s">
        <v>196</v>
      </c>
      <c r="J71" s="41" t="s">
        <v>257</v>
      </c>
      <c r="V71" s="41">
        <v>23</v>
      </c>
      <c r="Y71" s="41" t="s">
        <v>303</v>
      </c>
      <c r="Z71" s="41" t="s">
        <v>206</v>
      </c>
      <c r="AA71" s="41" t="s">
        <v>257</v>
      </c>
      <c r="AH71" t="s">
        <v>346</v>
      </c>
    </row>
    <row r="72" spans="2:35">
      <c r="B72" s="41">
        <v>20</v>
      </c>
      <c r="C72" s="41" t="s">
        <v>301</v>
      </c>
      <c r="D72" s="41" t="s">
        <v>197</v>
      </c>
      <c r="E72" s="41" t="s">
        <v>302</v>
      </c>
      <c r="F72" s="41"/>
      <c r="G72" s="41">
        <v>20</v>
      </c>
      <c r="H72" s="41" t="s">
        <v>303</v>
      </c>
      <c r="I72" s="41" t="s">
        <v>198</v>
      </c>
      <c r="J72" s="41" t="s">
        <v>257</v>
      </c>
      <c r="V72" s="41">
        <v>24</v>
      </c>
      <c r="W72" t="s">
        <v>301</v>
      </c>
      <c r="X72" t="s">
        <v>207</v>
      </c>
      <c r="Y72" s="41" t="s">
        <v>302</v>
      </c>
      <c r="Z72" s="41"/>
      <c r="AA72" s="41"/>
      <c r="AI72" t="s">
        <v>347</v>
      </c>
    </row>
    <row r="73" spans="2:35">
      <c r="B73" s="41">
        <v>21</v>
      </c>
      <c r="C73" s="41" t="s">
        <v>301</v>
      </c>
      <c r="D73" s="41" t="s">
        <v>199</v>
      </c>
      <c r="E73" s="41" t="s">
        <v>302</v>
      </c>
      <c r="F73" s="41"/>
      <c r="G73" s="41">
        <v>21</v>
      </c>
      <c r="H73" s="41" t="s">
        <v>303</v>
      </c>
      <c r="I73" s="41" t="s">
        <v>200</v>
      </c>
      <c r="J73" s="41" t="s">
        <v>257</v>
      </c>
      <c r="V73" s="41">
        <v>24</v>
      </c>
      <c r="Y73" s="41" t="s">
        <v>303</v>
      </c>
      <c r="Z73" s="41" t="s">
        <v>208</v>
      </c>
      <c r="AA73" s="41" t="s">
        <v>257</v>
      </c>
      <c r="AH73" t="s">
        <v>348</v>
      </c>
    </row>
    <row r="74" spans="2:35">
      <c r="B74" s="41">
        <v>22</v>
      </c>
      <c r="C74" s="41" t="s">
        <v>301</v>
      </c>
      <c r="D74" s="41" t="s">
        <v>203</v>
      </c>
      <c r="E74" s="41" t="s">
        <v>302</v>
      </c>
      <c r="F74" s="41"/>
      <c r="G74" s="41">
        <v>22</v>
      </c>
      <c r="H74" s="41" t="s">
        <v>303</v>
      </c>
      <c r="I74" s="41" t="s">
        <v>204</v>
      </c>
      <c r="J74" s="41" t="s">
        <v>257</v>
      </c>
      <c r="V74" s="41">
        <v>25</v>
      </c>
      <c r="W74" t="s">
        <v>301</v>
      </c>
      <c r="X74" t="s">
        <v>209</v>
      </c>
      <c r="Y74" s="41" t="s">
        <v>302</v>
      </c>
      <c r="Z74" s="41"/>
      <c r="AA74" s="41"/>
      <c r="AI74" t="s">
        <v>349</v>
      </c>
    </row>
    <row r="75" spans="2:35">
      <c r="B75" s="41">
        <v>23</v>
      </c>
      <c r="C75" s="41" t="s">
        <v>301</v>
      </c>
      <c r="D75" s="41" t="s">
        <v>205</v>
      </c>
      <c r="E75" s="41" t="s">
        <v>302</v>
      </c>
      <c r="F75" s="41"/>
      <c r="G75" s="41">
        <v>23</v>
      </c>
      <c r="H75" s="41" t="s">
        <v>303</v>
      </c>
      <c r="I75" s="41" t="s">
        <v>206</v>
      </c>
      <c r="J75" s="41" t="s">
        <v>257</v>
      </c>
      <c r="V75" s="41">
        <v>25</v>
      </c>
      <c r="Y75" s="41" t="s">
        <v>303</v>
      </c>
      <c r="Z75" s="41" t="s">
        <v>210</v>
      </c>
      <c r="AA75" s="41" t="s">
        <v>257</v>
      </c>
      <c r="AH75" t="s">
        <v>350</v>
      </c>
    </row>
    <row r="76" spans="2:35">
      <c r="B76" s="41">
        <v>24</v>
      </c>
      <c r="C76" s="41" t="s">
        <v>301</v>
      </c>
      <c r="D76" s="41" t="s">
        <v>207</v>
      </c>
      <c r="E76" s="41" t="s">
        <v>302</v>
      </c>
      <c r="F76" s="41"/>
      <c r="G76" s="41">
        <v>24</v>
      </c>
      <c r="H76" s="41" t="s">
        <v>303</v>
      </c>
      <c r="I76" s="41" t="s">
        <v>208</v>
      </c>
      <c r="J76" s="41" t="s">
        <v>257</v>
      </c>
      <c r="V76" s="41">
        <v>26</v>
      </c>
      <c r="W76" t="s">
        <v>301</v>
      </c>
      <c r="X76" t="s">
        <v>213</v>
      </c>
      <c r="Y76" s="41" t="s">
        <v>302</v>
      </c>
      <c r="Z76" s="41"/>
      <c r="AA76" s="41"/>
      <c r="AI76" t="s">
        <v>351</v>
      </c>
    </row>
    <row r="77" spans="2:35">
      <c r="B77" s="41">
        <v>25</v>
      </c>
      <c r="C77" s="41" t="s">
        <v>301</v>
      </c>
      <c r="D77" s="41" t="s">
        <v>209</v>
      </c>
      <c r="E77" s="41" t="s">
        <v>302</v>
      </c>
      <c r="F77" s="41"/>
      <c r="G77" s="41">
        <v>25</v>
      </c>
      <c r="H77" s="41" t="s">
        <v>303</v>
      </c>
      <c r="I77" s="41" t="s">
        <v>210</v>
      </c>
      <c r="J77" s="41" t="s">
        <v>257</v>
      </c>
      <c r="V77" s="41">
        <v>26</v>
      </c>
      <c r="Y77" s="41" t="s">
        <v>303</v>
      </c>
      <c r="Z77" s="41" t="s">
        <v>214</v>
      </c>
      <c r="AA77" s="41" t="s">
        <v>257</v>
      </c>
      <c r="AH77" t="s">
        <v>352</v>
      </c>
    </row>
    <row r="78" spans="2:35">
      <c r="B78" s="41">
        <v>26</v>
      </c>
      <c r="C78" s="41" t="s">
        <v>301</v>
      </c>
      <c r="D78" s="41" t="s">
        <v>213</v>
      </c>
      <c r="E78" s="41" t="s">
        <v>302</v>
      </c>
      <c r="F78" s="41"/>
      <c r="G78" s="41">
        <v>26</v>
      </c>
      <c r="H78" s="41" t="s">
        <v>303</v>
      </c>
      <c r="I78" s="41" t="s">
        <v>214</v>
      </c>
      <c r="J78" s="41" t="s">
        <v>257</v>
      </c>
      <c r="V78" s="41">
        <v>27</v>
      </c>
      <c r="W78" t="s">
        <v>301</v>
      </c>
      <c r="X78" t="s">
        <v>215</v>
      </c>
      <c r="Y78" s="41" t="s">
        <v>302</v>
      </c>
      <c r="Z78" s="41"/>
      <c r="AA78" s="41"/>
      <c r="AI78" t="s">
        <v>317</v>
      </c>
    </row>
    <row r="79" spans="2:35">
      <c r="B79" s="41">
        <v>27</v>
      </c>
      <c r="C79" s="41" t="s">
        <v>301</v>
      </c>
      <c r="D79" s="41" t="s">
        <v>215</v>
      </c>
      <c r="E79" s="41" t="s">
        <v>302</v>
      </c>
      <c r="F79" s="41"/>
      <c r="G79" s="41">
        <v>27</v>
      </c>
      <c r="H79" s="41" t="s">
        <v>303</v>
      </c>
      <c r="I79" s="41" t="s">
        <v>216</v>
      </c>
      <c r="J79" s="41" t="s">
        <v>257</v>
      </c>
      <c r="V79" s="41">
        <v>27</v>
      </c>
      <c r="Y79" s="41" t="s">
        <v>303</v>
      </c>
      <c r="Z79" s="41" t="s">
        <v>216</v>
      </c>
      <c r="AA79" s="41" t="s">
        <v>257</v>
      </c>
      <c r="AH79" t="s">
        <v>353</v>
      </c>
    </row>
    <row r="80" spans="2:35">
      <c r="B80" s="41">
        <v>28</v>
      </c>
      <c r="C80" s="41" t="s">
        <v>301</v>
      </c>
      <c r="D80" s="41" t="s">
        <v>217</v>
      </c>
      <c r="E80" s="41" t="s">
        <v>302</v>
      </c>
      <c r="F80" s="41"/>
      <c r="G80" s="41">
        <v>28</v>
      </c>
      <c r="H80" s="41" t="s">
        <v>303</v>
      </c>
      <c r="I80" s="41" t="s">
        <v>218</v>
      </c>
      <c r="J80" s="41" t="s">
        <v>257</v>
      </c>
      <c r="V80" s="41">
        <v>28</v>
      </c>
      <c r="W80" t="s">
        <v>301</v>
      </c>
      <c r="X80" t="s">
        <v>217</v>
      </c>
      <c r="Y80" s="41" t="s">
        <v>302</v>
      </c>
      <c r="Z80" s="41"/>
      <c r="AA80" s="41"/>
      <c r="AI80" t="s">
        <v>354</v>
      </c>
    </row>
    <row r="81" spans="2:35">
      <c r="B81" s="41">
        <v>29</v>
      </c>
      <c r="C81" s="41" t="s">
        <v>301</v>
      </c>
      <c r="D81" s="41" t="s">
        <v>219</v>
      </c>
      <c r="E81" s="41" t="s">
        <v>302</v>
      </c>
      <c r="F81" s="41"/>
      <c r="G81" s="41">
        <v>29</v>
      </c>
      <c r="H81" s="41" t="s">
        <v>303</v>
      </c>
      <c r="I81" s="41" t="s">
        <v>220</v>
      </c>
      <c r="J81" s="41" t="s">
        <v>257</v>
      </c>
      <c r="V81" s="41">
        <v>28</v>
      </c>
      <c r="Y81" s="41" t="s">
        <v>303</v>
      </c>
      <c r="Z81" s="41" t="s">
        <v>218</v>
      </c>
      <c r="AA81" s="41" t="s">
        <v>257</v>
      </c>
      <c r="AH81" t="s">
        <v>355</v>
      </c>
    </row>
    <row r="82" spans="2:35">
      <c r="B82" s="41">
        <v>30</v>
      </c>
      <c r="C82" s="41" t="s">
        <v>301</v>
      </c>
      <c r="D82" s="41" t="s">
        <v>222</v>
      </c>
      <c r="E82" s="41" t="s">
        <v>302</v>
      </c>
      <c r="F82" s="41"/>
      <c r="G82" s="41">
        <v>30</v>
      </c>
      <c r="H82" s="41" t="s">
        <v>303</v>
      </c>
      <c r="I82" s="41" t="s">
        <v>223</v>
      </c>
      <c r="J82" s="41" t="s">
        <v>257</v>
      </c>
      <c r="V82" s="41">
        <v>29</v>
      </c>
      <c r="W82" t="s">
        <v>301</v>
      </c>
      <c r="X82" t="s">
        <v>219</v>
      </c>
      <c r="Y82" s="41" t="s">
        <v>302</v>
      </c>
      <c r="Z82" s="41"/>
      <c r="AA82" s="41"/>
      <c r="AI82" t="s">
        <v>356</v>
      </c>
    </row>
    <row r="83" spans="2:35">
      <c r="B83" s="41">
        <v>31</v>
      </c>
      <c r="C83" s="41" t="s">
        <v>301</v>
      </c>
      <c r="D83" s="41" t="s">
        <v>224</v>
      </c>
      <c r="E83" s="41" t="s">
        <v>302</v>
      </c>
      <c r="F83" s="41"/>
      <c r="G83" s="41">
        <v>31</v>
      </c>
      <c r="H83" s="41" t="s">
        <v>303</v>
      </c>
      <c r="I83" s="41" t="s">
        <v>225</v>
      </c>
      <c r="J83" s="41" t="s">
        <v>257</v>
      </c>
      <c r="V83" s="41">
        <v>29</v>
      </c>
      <c r="Y83" s="41" t="s">
        <v>303</v>
      </c>
      <c r="Z83" s="41" t="s">
        <v>220</v>
      </c>
      <c r="AA83" s="41" t="s">
        <v>257</v>
      </c>
      <c r="AH83" t="s">
        <v>357</v>
      </c>
    </row>
    <row r="84" spans="2:35">
      <c r="B84" s="41">
        <v>32</v>
      </c>
      <c r="C84" s="41" t="s">
        <v>301</v>
      </c>
      <c r="D84" s="41" t="s">
        <v>226</v>
      </c>
      <c r="E84" s="41" t="s">
        <v>302</v>
      </c>
      <c r="F84" s="41"/>
      <c r="G84" s="41">
        <v>32</v>
      </c>
      <c r="H84" s="41" t="s">
        <v>303</v>
      </c>
      <c r="I84" s="41" t="s">
        <v>227</v>
      </c>
      <c r="J84" s="41" t="s">
        <v>257</v>
      </c>
      <c r="V84" s="41">
        <v>30</v>
      </c>
      <c r="W84" t="s">
        <v>301</v>
      </c>
      <c r="X84" t="s">
        <v>222</v>
      </c>
      <c r="Y84" s="41" t="s">
        <v>302</v>
      </c>
      <c r="Z84" s="41"/>
      <c r="AA84" s="41"/>
      <c r="AI84" t="s">
        <v>315</v>
      </c>
    </row>
    <row r="85" spans="2:35">
      <c r="B85" s="41">
        <v>33</v>
      </c>
      <c r="C85" s="41" t="s">
        <v>301</v>
      </c>
      <c r="D85" s="41" t="s">
        <v>228</v>
      </c>
      <c r="E85" s="41" t="s">
        <v>302</v>
      </c>
      <c r="F85" s="41"/>
      <c r="G85" s="41">
        <v>33</v>
      </c>
      <c r="H85" s="41" t="s">
        <v>303</v>
      </c>
      <c r="I85" s="41" t="s">
        <v>229</v>
      </c>
      <c r="J85" s="41" t="s">
        <v>257</v>
      </c>
      <c r="V85" s="41">
        <v>30</v>
      </c>
      <c r="Y85" s="41" t="s">
        <v>303</v>
      </c>
      <c r="Z85" s="41" t="s">
        <v>223</v>
      </c>
      <c r="AA85" s="41" t="s">
        <v>257</v>
      </c>
      <c r="AH85" t="s">
        <v>358</v>
      </c>
    </row>
    <row r="86" spans="2:35">
      <c r="B86" s="41">
        <v>34</v>
      </c>
      <c r="C86" s="41" t="s">
        <v>301</v>
      </c>
      <c r="D86" s="41" t="s">
        <v>230</v>
      </c>
      <c r="E86" s="41" t="s">
        <v>302</v>
      </c>
      <c r="F86" s="41"/>
      <c r="G86" s="41">
        <v>34</v>
      </c>
      <c r="H86" s="41" t="s">
        <v>303</v>
      </c>
      <c r="I86" s="41" t="s">
        <v>231</v>
      </c>
      <c r="J86" s="41" t="s">
        <v>257</v>
      </c>
      <c r="V86" s="41">
        <v>31</v>
      </c>
      <c r="W86" t="s">
        <v>301</v>
      </c>
      <c r="X86" t="s">
        <v>224</v>
      </c>
      <c r="Y86" s="41" t="s">
        <v>302</v>
      </c>
      <c r="Z86" s="41"/>
      <c r="AA86" s="41"/>
      <c r="AI86" t="s">
        <v>359</v>
      </c>
    </row>
    <row r="87" spans="2:35">
      <c r="B87" s="41">
        <v>35</v>
      </c>
      <c r="C87" s="41" t="s">
        <v>301</v>
      </c>
      <c r="D87" s="41" t="s">
        <v>234</v>
      </c>
      <c r="E87" s="41" t="s">
        <v>302</v>
      </c>
      <c r="F87" s="41"/>
      <c r="G87" s="41">
        <v>35</v>
      </c>
      <c r="H87" s="41" t="s">
        <v>303</v>
      </c>
      <c r="I87" s="41" t="s">
        <v>235</v>
      </c>
      <c r="J87" s="41" t="s">
        <v>257</v>
      </c>
      <c r="V87" s="41">
        <v>31</v>
      </c>
      <c r="Y87" s="41" t="s">
        <v>303</v>
      </c>
      <c r="Z87" s="41" t="s">
        <v>225</v>
      </c>
      <c r="AA87" s="41" t="s">
        <v>257</v>
      </c>
      <c r="AH87" t="s">
        <v>360</v>
      </c>
    </row>
    <row r="88" spans="2:35">
      <c r="B88" s="41">
        <v>36</v>
      </c>
      <c r="C88" s="41" t="s">
        <v>301</v>
      </c>
      <c r="D88" s="41" t="s">
        <v>236</v>
      </c>
      <c r="E88" s="41" t="s">
        <v>302</v>
      </c>
      <c r="F88" s="41"/>
      <c r="G88" s="41">
        <v>36</v>
      </c>
      <c r="H88" s="41" t="s">
        <v>303</v>
      </c>
      <c r="I88" s="41" t="s">
        <v>237</v>
      </c>
      <c r="J88" s="41" t="s">
        <v>257</v>
      </c>
      <c r="V88" s="41">
        <v>32</v>
      </c>
      <c r="W88" t="s">
        <v>301</v>
      </c>
      <c r="X88" t="s">
        <v>226</v>
      </c>
      <c r="Y88" s="41" t="s">
        <v>302</v>
      </c>
      <c r="Z88" s="41"/>
      <c r="AA88" s="41"/>
      <c r="AI88" t="s">
        <v>361</v>
      </c>
    </row>
    <row r="89" spans="2:35">
      <c r="B89" s="41">
        <v>37</v>
      </c>
      <c r="C89" s="41" t="s">
        <v>301</v>
      </c>
      <c r="D89" s="41" t="s">
        <v>238</v>
      </c>
      <c r="E89" s="41" t="s">
        <v>302</v>
      </c>
      <c r="F89" s="41"/>
      <c r="G89" s="41">
        <v>37</v>
      </c>
      <c r="H89" s="41" t="s">
        <v>303</v>
      </c>
      <c r="I89" s="41" t="s">
        <v>239</v>
      </c>
      <c r="J89" s="41" t="s">
        <v>257</v>
      </c>
      <c r="V89" s="41">
        <v>32</v>
      </c>
      <c r="Y89" s="41" t="s">
        <v>303</v>
      </c>
      <c r="Z89" s="41" t="s">
        <v>227</v>
      </c>
      <c r="AA89" s="41" t="s">
        <v>257</v>
      </c>
      <c r="AH89" t="s">
        <v>362</v>
      </c>
    </row>
    <row r="90" spans="2:35">
      <c r="B90" s="41">
        <v>38</v>
      </c>
      <c r="C90" s="41" t="s">
        <v>301</v>
      </c>
      <c r="D90" s="41" t="s">
        <v>240</v>
      </c>
      <c r="E90" s="41" t="s">
        <v>302</v>
      </c>
      <c r="F90" s="41"/>
      <c r="G90" s="41">
        <v>38</v>
      </c>
      <c r="H90" s="41" t="s">
        <v>303</v>
      </c>
      <c r="I90" s="41" t="s">
        <v>241</v>
      </c>
      <c r="J90" s="41" t="s">
        <v>257</v>
      </c>
      <c r="V90" s="41">
        <v>33</v>
      </c>
      <c r="W90" t="s">
        <v>301</v>
      </c>
      <c r="X90" t="s">
        <v>228</v>
      </c>
      <c r="Y90" s="41" t="s">
        <v>302</v>
      </c>
      <c r="Z90" s="41"/>
      <c r="AA90" s="41"/>
      <c r="AI90" t="s">
        <v>363</v>
      </c>
    </row>
    <row r="91" spans="2:35">
      <c r="B91" s="41">
        <v>39</v>
      </c>
      <c r="C91" s="41" t="s">
        <v>301</v>
      </c>
      <c r="D91" s="41" t="s">
        <v>244</v>
      </c>
      <c r="E91" s="41" t="s">
        <v>302</v>
      </c>
      <c r="F91" s="41"/>
      <c r="G91" s="41">
        <v>39</v>
      </c>
      <c r="H91" s="41" t="s">
        <v>303</v>
      </c>
      <c r="I91" s="41" t="s">
        <v>245</v>
      </c>
      <c r="J91" s="41" t="s">
        <v>257</v>
      </c>
      <c r="V91" s="41">
        <v>33</v>
      </c>
      <c r="Y91" s="41" t="s">
        <v>303</v>
      </c>
      <c r="Z91" s="41" t="s">
        <v>229</v>
      </c>
      <c r="AA91" s="41" t="s">
        <v>257</v>
      </c>
      <c r="AH91" t="s">
        <v>364</v>
      </c>
    </row>
    <row r="92" spans="2:35">
      <c r="B92" s="41">
        <v>40</v>
      </c>
      <c r="C92" s="41" t="s">
        <v>301</v>
      </c>
      <c r="D92" s="41" t="s">
        <v>246</v>
      </c>
      <c r="E92" s="41" t="s">
        <v>302</v>
      </c>
      <c r="F92" s="41"/>
      <c r="G92" s="41">
        <v>40</v>
      </c>
      <c r="H92" s="41" t="s">
        <v>303</v>
      </c>
      <c r="I92" s="41" t="s">
        <v>247</v>
      </c>
      <c r="J92" s="41" t="s">
        <v>257</v>
      </c>
      <c r="V92" s="41">
        <v>34</v>
      </c>
      <c r="W92" t="s">
        <v>301</v>
      </c>
      <c r="X92" t="s">
        <v>230</v>
      </c>
      <c r="Y92" s="41" t="s">
        <v>302</v>
      </c>
      <c r="Z92" s="41"/>
      <c r="AA92" s="41"/>
      <c r="AI92" t="s">
        <v>365</v>
      </c>
    </row>
    <row r="93" spans="2:35">
      <c r="B93" s="41">
        <v>41</v>
      </c>
      <c r="C93" s="41" t="s">
        <v>301</v>
      </c>
      <c r="D93" s="41" t="s">
        <v>249</v>
      </c>
      <c r="E93" s="41" t="s">
        <v>302</v>
      </c>
      <c r="F93" s="41"/>
      <c r="G93" s="41">
        <v>41</v>
      </c>
      <c r="H93" s="41" t="s">
        <v>303</v>
      </c>
      <c r="I93" s="41" t="s">
        <v>250</v>
      </c>
      <c r="J93" s="41" t="s">
        <v>257</v>
      </c>
      <c r="V93" s="41">
        <v>34</v>
      </c>
      <c r="Y93" s="41" t="s">
        <v>303</v>
      </c>
      <c r="Z93" s="41" t="s">
        <v>231</v>
      </c>
      <c r="AA93" s="41" t="s">
        <v>257</v>
      </c>
      <c r="AH93" t="s">
        <v>366</v>
      </c>
    </row>
    <row r="94" spans="2:35">
      <c r="B94" s="41">
        <v>42</v>
      </c>
      <c r="C94" s="41" t="s">
        <v>301</v>
      </c>
      <c r="D94" s="41" t="s">
        <v>251</v>
      </c>
      <c r="E94" s="41" t="s">
        <v>302</v>
      </c>
      <c r="F94" s="41"/>
      <c r="G94" s="41">
        <v>42</v>
      </c>
      <c r="H94" s="41" t="s">
        <v>303</v>
      </c>
      <c r="I94" s="41" t="s">
        <v>252</v>
      </c>
      <c r="J94" s="41" t="s">
        <v>257</v>
      </c>
      <c r="V94" s="41">
        <v>35</v>
      </c>
      <c r="W94" t="s">
        <v>301</v>
      </c>
      <c r="X94" t="s">
        <v>234</v>
      </c>
      <c r="Y94" s="41" t="s">
        <v>302</v>
      </c>
      <c r="Z94" s="41"/>
      <c r="AA94" s="41"/>
      <c r="AI94" t="s">
        <v>367</v>
      </c>
    </row>
    <row r="95" spans="2:35">
      <c r="B95" s="41">
        <v>43</v>
      </c>
      <c r="C95" s="41" t="s">
        <v>301</v>
      </c>
      <c r="D95" s="41" t="s">
        <v>167</v>
      </c>
      <c r="E95" s="41" t="s">
        <v>302</v>
      </c>
      <c r="F95" s="41"/>
      <c r="G95" s="41">
        <v>43</v>
      </c>
      <c r="H95" s="41" t="s">
        <v>303</v>
      </c>
      <c r="I95" s="41" t="s">
        <v>253</v>
      </c>
      <c r="J95" s="41" t="s">
        <v>257</v>
      </c>
      <c r="V95" s="41">
        <v>35</v>
      </c>
      <c r="Y95" s="41" t="s">
        <v>303</v>
      </c>
      <c r="Z95" s="41" t="s">
        <v>235</v>
      </c>
      <c r="AA95" s="41" t="s">
        <v>257</v>
      </c>
      <c r="AH95" t="s">
        <v>368</v>
      </c>
    </row>
    <row r="96" spans="2:35">
      <c r="C96" s="41" t="s">
        <v>301</v>
      </c>
      <c r="D96" s="41"/>
      <c r="E96" s="41" t="s">
        <v>302</v>
      </c>
      <c r="F96" s="41"/>
      <c r="G96" s="41"/>
      <c r="H96" s="41" t="s">
        <v>303</v>
      </c>
      <c r="I96" s="41"/>
      <c r="J96" s="41" t="s">
        <v>257</v>
      </c>
      <c r="V96" s="41">
        <v>36</v>
      </c>
      <c r="W96" t="s">
        <v>301</v>
      </c>
      <c r="X96" t="s">
        <v>236</v>
      </c>
      <c r="Y96" s="41" t="s">
        <v>302</v>
      </c>
      <c r="Z96" s="41"/>
      <c r="AA96" s="41"/>
      <c r="AI96" t="s">
        <v>369</v>
      </c>
    </row>
    <row r="97" spans="3:35">
      <c r="C97" s="41" t="s">
        <v>301</v>
      </c>
      <c r="D97" s="41"/>
      <c r="E97" s="41" t="s">
        <v>302</v>
      </c>
      <c r="F97" s="41"/>
      <c r="G97" s="41"/>
      <c r="H97" s="41" t="s">
        <v>303</v>
      </c>
      <c r="I97" s="41"/>
      <c r="J97" s="41" t="s">
        <v>257</v>
      </c>
      <c r="V97" s="41">
        <v>36</v>
      </c>
      <c r="Y97" s="41" t="s">
        <v>303</v>
      </c>
      <c r="Z97" s="41" t="s">
        <v>237</v>
      </c>
      <c r="AA97" s="41" t="s">
        <v>257</v>
      </c>
      <c r="AH97" t="s">
        <v>370</v>
      </c>
    </row>
    <row r="98" spans="3:35">
      <c r="C98" s="41" t="s">
        <v>301</v>
      </c>
      <c r="D98" s="41"/>
      <c r="E98" s="41" t="s">
        <v>302</v>
      </c>
      <c r="F98" s="41"/>
      <c r="G98" s="41"/>
      <c r="H98" s="41" t="s">
        <v>303</v>
      </c>
      <c r="I98" s="41"/>
      <c r="J98" s="41" t="s">
        <v>257</v>
      </c>
      <c r="V98" s="41">
        <v>37</v>
      </c>
      <c r="W98" t="s">
        <v>301</v>
      </c>
      <c r="X98" t="s">
        <v>238</v>
      </c>
      <c r="Y98" s="41" t="s">
        <v>302</v>
      </c>
      <c r="Z98" s="41"/>
      <c r="AA98" s="41"/>
      <c r="AI98" t="s">
        <v>371</v>
      </c>
    </row>
    <row r="99" spans="3:35">
      <c r="C99" s="41" t="s">
        <v>301</v>
      </c>
      <c r="D99" s="41"/>
      <c r="E99" s="41" t="s">
        <v>302</v>
      </c>
      <c r="F99" s="41"/>
      <c r="G99" s="41"/>
      <c r="H99" s="41" t="s">
        <v>303</v>
      </c>
      <c r="I99" s="41"/>
      <c r="J99" s="41" t="s">
        <v>257</v>
      </c>
      <c r="V99" s="41">
        <v>37</v>
      </c>
      <c r="Y99" s="41" t="s">
        <v>303</v>
      </c>
      <c r="Z99" s="41" t="s">
        <v>239</v>
      </c>
      <c r="AA99" s="41" t="s">
        <v>257</v>
      </c>
      <c r="AH99" t="s">
        <v>372</v>
      </c>
    </row>
    <row r="100" spans="3:35">
      <c r="C100" s="41" t="s">
        <v>301</v>
      </c>
      <c r="D100" s="41"/>
      <c r="E100" s="41" t="s">
        <v>302</v>
      </c>
      <c r="F100" s="41"/>
      <c r="G100" s="41"/>
      <c r="H100" s="41" t="s">
        <v>303</v>
      </c>
      <c r="I100" s="41"/>
      <c r="J100" s="41" t="s">
        <v>257</v>
      </c>
      <c r="V100" s="41">
        <v>38</v>
      </c>
      <c r="W100" t="s">
        <v>301</v>
      </c>
      <c r="X100" t="s">
        <v>240</v>
      </c>
      <c r="Y100" s="41" t="s">
        <v>302</v>
      </c>
      <c r="Z100" s="41"/>
      <c r="AA100" s="41"/>
      <c r="AI100" t="s">
        <v>373</v>
      </c>
    </row>
    <row r="101" spans="3:35">
      <c r="C101" s="41" t="s">
        <v>301</v>
      </c>
      <c r="D101" s="41"/>
      <c r="E101" s="41" t="s">
        <v>302</v>
      </c>
      <c r="F101" s="41"/>
      <c r="G101" s="41"/>
      <c r="H101" s="41" t="s">
        <v>303</v>
      </c>
      <c r="I101" s="41"/>
      <c r="J101" s="41" t="s">
        <v>257</v>
      </c>
      <c r="V101" s="41">
        <v>38</v>
      </c>
      <c r="Y101" s="41" t="s">
        <v>303</v>
      </c>
      <c r="Z101" s="41" t="s">
        <v>241</v>
      </c>
      <c r="AA101" s="41" t="s">
        <v>257</v>
      </c>
      <c r="AH101" t="s">
        <v>374</v>
      </c>
    </row>
    <row r="102" spans="3:35">
      <c r="C102" s="41" t="s">
        <v>301</v>
      </c>
      <c r="D102" s="41"/>
      <c r="E102" s="41" t="s">
        <v>302</v>
      </c>
      <c r="F102" s="41"/>
      <c r="G102" s="41"/>
      <c r="H102" s="41" t="s">
        <v>303</v>
      </c>
      <c r="I102" s="41"/>
      <c r="J102" s="41" t="s">
        <v>257</v>
      </c>
      <c r="V102" s="41">
        <v>39</v>
      </c>
      <c r="W102" t="s">
        <v>301</v>
      </c>
      <c r="X102" t="s">
        <v>244</v>
      </c>
      <c r="Y102" s="41" t="s">
        <v>302</v>
      </c>
      <c r="Z102" s="41"/>
      <c r="AA102" s="41"/>
      <c r="AI102" t="s">
        <v>375</v>
      </c>
    </row>
    <row r="103" spans="3:35">
      <c r="C103" s="41" t="s">
        <v>301</v>
      </c>
      <c r="D103" s="41"/>
      <c r="E103" s="41" t="s">
        <v>302</v>
      </c>
      <c r="F103" s="41"/>
      <c r="G103" s="41"/>
      <c r="H103" s="41" t="s">
        <v>303</v>
      </c>
      <c r="I103" s="41"/>
      <c r="J103" s="41" t="s">
        <v>257</v>
      </c>
      <c r="V103" s="41">
        <v>39</v>
      </c>
      <c r="Y103" s="41" t="s">
        <v>303</v>
      </c>
      <c r="Z103" s="41" t="s">
        <v>245</v>
      </c>
      <c r="AA103" s="41" t="s">
        <v>257</v>
      </c>
      <c r="AH103" t="s">
        <v>376</v>
      </c>
    </row>
    <row r="104" spans="3:35">
      <c r="C104" s="41" t="s">
        <v>301</v>
      </c>
      <c r="D104" s="41"/>
      <c r="E104" s="41" t="s">
        <v>302</v>
      </c>
      <c r="F104" s="41"/>
      <c r="G104" s="41"/>
      <c r="H104" s="41" t="s">
        <v>303</v>
      </c>
      <c r="I104" s="41"/>
      <c r="J104" s="41" t="s">
        <v>257</v>
      </c>
      <c r="V104" s="41">
        <v>40</v>
      </c>
      <c r="W104" t="s">
        <v>301</v>
      </c>
      <c r="X104" t="s">
        <v>246</v>
      </c>
      <c r="Y104" s="41" t="s">
        <v>302</v>
      </c>
      <c r="Z104" s="41"/>
      <c r="AA104" s="41"/>
      <c r="AI104" t="s">
        <v>377</v>
      </c>
    </row>
    <row r="105" spans="3:35">
      <c r="C105" s="41" t="s">
        <v>301</v>
      </c>
      <c r="D105" s="41"/>
      <c r="E105" s="41" t="s">
        <v>302</v>
      </c>
      <c r="F105" s="41"/>
      <c r="G105" s="41"/>
      <c r="H105" s="41" t="s">
        <v>303</v>
      </c>
      <c r="I105" s="41"/>
      <c r="J105" s="41" t="s">
        <v>257</v>
      </c>
      <c r="V105" s="41">
        <v>40</v>
      </c>
      <c r="Y105" s="41" t="s">
        <v>303</v>
      </c>
      <c r="Z105" s="41" t="s">
        <v>247</v>
      </c>
      <c r="AA105" s="41" t="s">
        <v>257</v>
      </c>
      <c r="AH105" t="s">
        <v>378</v>
      </c>
    </row>
    <row r="106" spans="3:35">
      <c r="C106" s="41" t="s">
        <v>301</v>
      </c>
      <c r="D106" s="41"/>
      <c r="E106" s="41" t="s">
        <v>302</v>
      </c>
      <c r="F106" s="41"/>
      <c r="G106" s="41"/>
      <c r="H106" s="41" t="s">
        <v>303</v>
      </c>
      <c r="I106" s="41"/>
      <c r="J106" s="41" t="s">
        <v>257</v>
      </c>
      <c r="V106" s="41">
        <v>41</v>
      </c>
      <c r="W106" t="s">
        <v>301</v>
      </c>
      <c r="X106" t="s">
        <v>249</v>
      </c>
      <c r="Y106" s="41" t="s">
        <v>302</v>
      </c>
      <c r="Z106" s="41"/>
      <c r="AA106" s="41"/>
      <c r="AI106" t="s">
        <v>379</v>
      </c>
    </row>
    <row r="107" spans="3:35">
      <c r="C107" s="41" t="s">
        <v>301</v>
      </c>
      <c r="D107" s="41"/>
      <c r="E107" s="41" t="s">
        <v>302</v>
      </c>
      <c r="F107" s="41"/>
      <c r="G107" s="41"/>
      <c r="H107" s="41" t="s">
        <v>303</v>
      </c>
      <c r="I107" s="41"/>
      <c r="J107" s="41" t="s">
        <v>257</v>
      </c>
      <c r="V107" s="41">
        <v>41</v>
      </c>
      <c r="Y107" s="41" t="s">
        <v>303</v>
      </c>
      <c r="Z107" s="41" t="s">
        <v>250</v>
      </c>
      <c r="AA107" s="41" t="s">
        <v>257</v>
      </c>
      <c r="AH107" t="s">
        <v>380</v>
      </c>
    </row>
    <row r="108" spans="3:35">
      <c r="C108" s="41" t="s">
        <v>301</v>
      </c>
      <c r="D108" s="41"/>
      <c r="E108" s="41" t="s">
        <v>302</v>
      </c>
      <c r="F108" s="41"/>
      <c r="G108" s="41"/>
      <c r="H108" s="41" t="s">
        <v>303</v>
      </c>
      <c r="I108" s="41"/>
      <c r="J108" s="41" t="s">
        <v>257</v>
      </c>
      <c r="V108" s="41">
        <v>42</v>
      </c>
      <c r="W108" t="s">
        <v>301</v>
      </c>
      <c r="X108" t="s">
        <v>251</v>
      </c>
      <c r="Y108" s="41" t="s">
        <v>302</v>
      </c>
      <c r="Z108" s="41"/>
      <c r="AA108" s="41"/>
      <c r="AI108" t="s">
        <v>381</v>
      </c>
    </row>
    <row r="109" spans="3:35">
      <c r="C109" s="41" t="s">
        <v>301</v>
      </c>
      <c r="D109" s="41"/>
      <c r="E109" s="41" t="s">
        <v>302</v>
      </c>
      <c r="F109" s="41"/>
      <c r="G109" s="41"/>
      <c r="H109" s="41" t="s">
        <v>303</v>
      </c>
      <c r="I109" s="41"/>
      <c r="J109" s="41" t="s">
        <v>257</v>
      </c>
      <c r="V109" s="41">
        <v>42</v>
      </c>
      <c r="Y109" s="41" t="s">
        <v>303</v>
      </c>
      <c r="Z109" s="41" t="s">
        <v>252</v>
      </c>
      <c r="AA109" s="41" t="s">
        <v>257</v>
      </c>
      <c r="AH109" t="s">
        <v>382</v>
      </c>
    </row>
    <row r="110" spans="3:35">
      <c r="C110" s="41" t="s">
        <v>301</v>
      </c>
      <c r="D110" s="41"/>
      <c r="E110" s="41" t="s">
        <v>302</v>
      </c>
      <c r="F110" s="41"/>
      <c r="G110" s="41"/>
      <c r="H110" s="41" t="s">
        <v>303</v>
      </c>
      <c r="I110" s="41"/>
      <c r="J110" s="41" t="s">
        <v>257</v>
      </c>
      <c r="V110" s="41">
        <v>43</v>
      </c>
      <c r="W110" t="s">
        <v>301</v>
      </c>
      <c r="X110" t="s">
        <v>167</v>
      </c>
      <c r="Y110" s="41" t="s">
        <v>302</v>
      </c>
      <c r="Z110" s="41"/>
      <c r="AA110" s="41"/>
      <c r="AI110" t="s">
        <v>383</v>
      </c>
    </row>
    <row r="111" spans="3:35">
      <c r="C111" s="41" t="s">
        <v>301</v>
      </c>
      <c r="D111" s="41"/>
      <c r="E111" s="41" t="s">
        <v>302</v>
      </c>
      <c r="F111" s="41"/>
      <c r="G111" s="41"/>
      <c r="H111" s="41" t="s">
        <v>303</v>
      </c>
      <c r="I111" s="41"/>
      <c r="J111" s="41" t="s">
        <v>257</v>
      </c>
      <c r="V111" s="41">
        <v>43</v>
      </c>
      <c r="Y111" s="41" t="s">
        <v>303</v>
      </c>
      <c r="Z111" s="41" t="s">
        <v>253</v>
      </c>
      <c r="AA111" s="41" t="s">
        <v>257</v>
      </c>
      <c r="AH111" t="s">
        <v>384</v>
      </c>
    </row>
    <row r="112" spans="3:35">
      <c r="C112" s="41" t="s">
        <v>301</v>
      </c>
      <c r="D112" s="41"/>
      <c r="E112" s="41" t="s">
        <v>302</v>
      </c>
      <c r="F112" s="41"/>
      <c r="G112" s="41"/>
      <c r="H112" s="41" t="s">
        <v>303</v>
      </c>
      <c r="I112" s="41"/>
      <c r="J112" s="41" t="s">
        <v>257</v>
      </c>
      <c r="AI112" t="s">
        <v>385</v>
      </c>
    </row>
    <row r="113" spans="3:35">
      <c r="C113" s="41" t="s">
        <v>301</v>
      </c>
      <c r="D113" s="41"/>
      <c r="E113" s="41" t="s">
        <v>302</v>
      </c>
      <c r="F113" s="41"/>
      <c r="G113" s="41"/>
      <c r="H113" s="41" t="s">
        <v>303</v>
      </c>
      <c r="I113" s="41"/>
      <c r="J113" s="41" t="s">
        <v>257</v>
      </c>
      <c r="AH113" t="s">
        <v>386</v>
      </c>
    </row>
    <row r="114" spans="3:35">
      <c r="C114" s="41" t="s">
        <v>301</v>
      </c>
      <c r="D114" s="41"/>
      <c r="E114" s="41" t="s">
        <v>302</v>
      </c>
      <c r="F114" s="41"/>
      <c r="G114" s="41"/>
      <c r="H114" s="41" t="s">
        <v>303</v>
      </c>
      <c r="I114" s="41"/>
      <c r="J114" s="41" t="s">
        <v>257</v>
      </c>
      <c r="AI114" t="s">
        <v>387</v>
      </c>
    </row>
    <row r="115" spans="3:35">
      <c r="C115" s="41" t="s">
        <v>301</v>
      </c>
      <c r="D115" s="41"/>
      <c r="E115" s="41" t="s">
        <v>302</v>
      </c>
      <c r="F115" s="41"/>
      <c r="G115" s="41"/>
      <c r="H115" s="41" t="s">
        <v>303</v>
      </c>
      <c r="I115" s="41"/>
      <c r="J115" s="41" t="s">
        <v>257</v>
      </c>
      <c r="AH115" t="s">
        <v>388</v>
      </c>
    </row>
    <row r="116" spans="3:35">
      <c r="AI116" t="s">
        <v>389</v>
      </c>
    </row>
    <row r="117" spans="3:35">
      <c r="AH117" t="s">
        <v>390</v>
      </c>
    </row>
    <row r="118" spans="3:35">
      <c r="AI118" t="s">
        <v>391</v>
      </c>
    </row>
    <row r="119" spans="3:35">
      <c r="AH119" t="s">
        <v>392</v>
      </c>
    </row>
    <row r="120" spans="3:35">
      <c r="AI120" t="s">
        <v>393</v>
      </c>
    </row>
    <row r="129" spans="2:27">
      <c r="B129" s="19" t="s">
        <v>106</v>
      </c>
      <c r="C129" t="s">
        <v>103</v>
      </c>
      <c r="D129" t="s">
        <v>101</v>
      </c>
      <c r="E129" t="s">
        <v>102</v>
      </c>
      <c r="F129" t="s">
        <v>99</v>
      </c>
      <c r="G129" s="19" t="s">
        <v>53</v>
      </c>
      <c r="H129" t="s">
        <v>99</v>
      </c>
      <c r="I129" t="s">
        <v>100</v>
      </c>
      <c r="K129" t="s">
        <v>99</v>
      </c>
      <c r="L129" s="19" t="s">
        <v>31</v>
      </c>
      <c r="M129" t="s">
        <v>99</v>
      </c>
      <c r="N129" t="s">
        <v>100</v>
      </c>
      <c r="P129" s="20" t="s">
        <v>30</v>
      </c>
      <c r="R129" t="s">
        <v>107</v>
      </c>
      <c r="T129" t="s">
        <v>108</v>
      </c>
      <c r="W129" t="s">
        <v>109</v>
      </c>
      <c r="AA129" t="s">
        <v>138</v>
      </c>
    </row>
    <row r="130" spans="2:27">
      <c r="B130" s="19" t="s">
        <v>104</v>
      </c>
      <c r="C130" s="19" t="s">
        <v>103</v>
      </c>
      <c r="D130" s="19" t="s">
        <v>101</v>
      </c>
      <c r="E130" s="19" t="s">
        <v>102</v>
      </c>
      <c r="F130" s="19" t="s">
        <v>99</v>
      </c>
      <c r="G130" s="19" t="s">
        <v>54</v>
      </c>
      <c r="H130" s="19" t="s">
        <v>99</v>
      </c>
      <c r="I130" s="19" t="s">
        <v>100</v>
      </c>
      <c r="J130" s="19"/>
      <c r="K130" s="19" t="s">
        <v>99</v>
      </c>
      <c r="L130" s="19" t="s">
        <v>32</v>
      </c>
      <c r="M130" s="19" t="s">
        <v>99</v>
      </c>
      <c r="N130" s="19" t="s">
        <v>100</v>
      </c>
      <c r="P130" s="20" t="s">
        <v>35</v>
      </c>
      <c r="R130" s="20" t="s">
        <v>107</v>
      </c>
      <c r="T130" s="20" t="s">
        <v>108</v>
      </c>
      <c r="W130" t="s">
        <v>110</v>
      </c>
      <c r="AA130" t="s">
        <v>154</v>
      </c>
    </row>
    <row r="131" spans="2:27">
      <c r="B131" s="19" t="s">
        <v>104</v>
      </c>
      <c r="C131" s="19" t="s">
        <v>103</v>
      </c>
      <c r="D131" s="19" t="s">
        <v>101</v>
      </c>
      <c r="E131" s="19" t="s">
        <v>102</v>
      </c>
      <c r="F131" s="19" t="s">
        <v>99</v>
      </c>
      <c r="G131" s="19" t="s">
        <v>55</v>
      </c>
      <c r="H131" s="19" t="s">
        <v>99</v>
      </c>
      <c r="I131" s="19" t="s">
        <v>100</v>
      </c>
      <c r="J131" s="19"/>
      <c r="K131" s="19" t="s">
        <v>99</v>
      </c>
      <c r="L131" s="19" t="s">
        <v>33</v>
      </c>
      <c r="M131" s="19" t="s">
        <v>99</v>
      </c>
      <c r="N131" s="19" t="s">
        <v>100</v>
      </c>
      <c r="P131" s="20" t="s">
        <v>46</v>
      </c>
      <c r="R131" s="20" t="s">
        <v>107</v>
      </c>
      <c r="T131" s="20" t="s">
        <v>108</v>
      </c>
      <c r="W131" t="s">
        <v>111</v>
      </c>
      <c r="AA131" t="s">
        <v>155</v>
      </c>
    </row>
    <row r="132" spans="2:27">
      <c r="B132" s="19" t="s">
        <v>104</v>
      </c>
      <c r="C132" s="19" t="s">
        <v>103</v>
      </c>
      <c r="D132" s="19" t="s">
        <v>101</v>
      </c>
      <c r="E132" s="19" t="s">
        <v>102</v>
      </c>
      <c r="F132" s="19" t="s">
        <v>99</v>
      </c>
      <c r="G132" s="19" t="s">
        <v>56</v>
      </c>
      <c r="H132" s="19" t="s">
        <v>99</v>
      </c>
      <c r="I132" s="19" t="s">
        <v>100</v>
      </c>
      <c r="J132" s="19"/>
      <c r="K132" s="19" t="s">
        <v>99</v>
      </c>
      <c r="L132" s="19" t="s">
        <v>34</v>
      </c>
      <c r="M132" s="19" t="s">
        <v>99</v>
      </c>
      <c r="N132" s="19" t="s">
        <v>100</v>
      </c>
      <c r="P132" s="20" t="s">
        <v>50</v>
      </c>
      <c r="R132" s="20" t="s">
        <v>107</v>
      </c>
      <c r="T132" s="20" t="s">
        <v>108</v>
      </c>
      <c r="W132" t="s">
        <v>112</v>
      </c>
      <c r="AA132" t="s">
        <v>139</v>
      </c>
    </row>
    <row r="133" spans="2:27">
      <c r="B133" s="19" t="s">
        <v>104</v>
      </c>
      <c r="C133" s="19" t="s">
        <v>103</v>
      </c>
      <c r="D133" s="19" t="s">
        <v>101</v>
      </c>
      <c r="E133" s="19" t="s">
        <v>102</v>
      </c>
      <c r="F133" s="19" t="s">
        <v>99</v>
      </c>
      <c r="G133" s="19" t="s">
        <v>57</v>
      </c>
      <c r="H133" s="19" t="s">
        <v>99</v>
      </c>
      <c r="I133" s="19" t="s">
        <v>100</v>
      </c>
      <c r="J133" s="19"/>
      <c r="K133" s="19" t="s">
        <v>99</v>
      </c>
      <c r="L133" s="19" t="s">
        <v>39</v>
      </c>
      <c r="M133" s="19" t="s">
        <v>99</v>
      </c>
      <c r="N133" s="19" t="s">
        <v>100</v>
      </c>
      <c r="P133" s="20" t="s">
        <v>74</v>
      </c>
      <c r="R133" s="20" t="s">
        <v>107</v>
      </c>
      <c r="T133" s="20" t="s">
        <v>108</v>
      </c>
      <c r="W133" t="s">
        <v>113</v>
      </c>
      <c r="AA133" t="s">
        <v>156</v>
      </c>
    </row>
    <row r="134" spans="2:27">
      <c r="B134" s="19" t="s">
        <v>104</v>
      </c>
      <c r="C134" s="19" t="s">
        <v>103</v>
      </c>
      <c r="D134" s="19" t="s">
        <v>101</v>
      </c>
      <c r="E134" s="19" t="s">
        <v>102</v>
      </c>
      <c r="F134" s="19" t="s">
        <v>99</v>
      </c>
      <c r="G134" s="19" t="s">
        <v>51</v>
      </c>
      <c r="H134" s="19" t="s">
        <v>99</v>
      </c>
      <c r="I134" s="19" t="s">
        <v>100</v>
      </c>
      <c r="J134" s="19"/>
      <c r="K134" s="19" t="s">
        <v>99</v>
      </c>
      <c r="L134" s="19" t="s">
        <v>37</v>
      </c>
      <c r="M134" s="19" t="s">
        <v>99</v>
      </c>
      <c r="N134" s="19" t="s">
        <v>100</v>
      </c>
      <c r="P134" s="20" t="s">
        <v>89</v>
      </c>
      <c r="R134" s="20" t="s">
        <v>107</v>
      </c>
      <c r="T134" s="20" t="s">
        <v>108</v>
      </c>
      <c r="W134" t="s">
        <v>114</v>
      </c>
      <c r="AA134" t="s">
        <v>140</v>
      </c>
    </row>
    <row r="135" spans="2:27">
      <c r="B135" s="19" t="s">
        <v>104</v>
      </c>
      <c r="C135" s="19" t="s">
        <v>103</v>
      </c>
      <c r="D135" s="19" t="s">
        <v>101</v>
      </c>
      <c r="E135" s="19" t="s">
        <v>102</v>
      </c>
      <c r="F135" s="19" t="s">
        <v>99</v>
      </c>
      <c r="G135" s="19" t="s">
        <v>52</v>
      </c>
      <c r="H135" s="19" t="s">
        <v>99</v>
      </c>
      <c r="I135" s="19" t="s">
        <v>100</v>
      </c>
      <c r="J135" s="19"/>
      <c r="K135" s="19" t="s">
        <v>99</v>
      </c>
      <c r="L135" s="19" t="s">
        <v>36</v>
      </c>
      <c r="M135" s="19" t="s">
        <v>99</v>
      </c>
      <c r="N135" s="19" t="s">
        <v>100</v>
      </c>
      <c r="P135" s="20" t="s">
        <v>39</v>
      </c>
      <c r="R135" s="20" t="s">
        <v>107</v>
      </c>
      <c r="T135" s="20" t="s">
        <v>108</v>
      </c>
      <c r="W135" t="s">
        <v>115</v>
      </c>
      <c r="AA135" t="s">
        <v>113</v>
      </c>
    </row>
    <row r="136" spans="2:27">
      <c r="B136" s="19" t="s">
        <v>104</v>
      </c>
      <c r="C136" s="19" t="s">
        <v>103</v>
      </c>
      <c r="D136" s="19" t="s">
        <v>101</v>
      </c>
      <c r="E136" s="19" t="s">
        <v>102</v>
      </c>
      <c r="F136" s="19" t="s">
        <v>99</v>
      </c>
      <c r="G136" s="19" t="s">
        <v>87</v>
      </c>
      <c r="H136" s="19" t="s">
        <v>99</v>
      </c>
      <c r="I136" s="19" t="s">
        <v>100</v>
      </c>
      <c r="J136" s="19"/>
      <c r="K136" s="19" t="s">
        <v>99</v>
      </c>
      <c r="L136" s="19" t="s">
        <v>86</v>
      </c>
      <c r="M136" s="19" t="s">
        <v>99</v>
      </c>
      <c r="N136" s="19" t="s">
        <v>100</v>
      </c>
      <c r="P136" t="s">
        <v>137</v>
      </c>
      <c r="R136" s="20" t="s">
        <v>107</v>
      </c>
      <c r="T136" s="20" t="s">
        <v>108</v>
      </c>
      <c r="W136" t="s">
        <v>116</v>
      </c>
      <c r="AA136" t="s">
        <v>141</v>
      </c>
    </row>
    <row r="137" spans="2:27">
      <c r="B137" s="19" t="s">
        <v>104</v>
      </c>
      <c r="C137" s="19" t="s">
        <v>103</v>
      </c>
      <c r="D137" s="19" t="s">
        <v>101</v>
      </c>
      <c r="E137" s="19" t="s">
        <v>102</v>
      </c>
      <c r="F137" s="19" t="s">
        <v>99</v>
      </c>
      <c r="G137" s="19" t="s">
        <v>58</v>
      </c>
      <c r="H137" s="19" t="s">
        <v>99</v>
      </c>
      <c r="I137" s="19" t="s">
        <v>100</v>
      </c>
      <c r="J137" s="19"/>
      <c r="K137" s="19" t="s">
        <v>99</v>
      </c>
      <c r="L137" s="19" t="s">
        <v>38</v>
      </c>
      <c r="M137" s="19" t="s">
        <v>99</v>
      </c>
      <c r="N137" s="19" t="s">
        <v>100</v>
      </c>
      <c r="R137" s="20" t="s">
        <v>107</v>
      </c>
      <c r="S137" s="20" t="s">
        <v>38</v>
      </c>
      <c r="T137" s="20" t="s">
        <v>108</v>
      </c>
      <c r="W137" t="s">
        <v>117</v>
      </c>
    </row>
    <row r="138" spans="2:27">
      <c r="B138" s="19" t="s">
        <v>104</v>
      </c>
      <c r="C138" s="19" t="s">
        <v>103</v>
      </c>
      <c r="D138" s="19" t="s">
        <v>101</v>
      </c>
      <c r="E138" s="19" t="s">
        <v>102</v>
      </c>
      <c r="F138" s="19" t="s">
        <v>99</v>
      </c>
      <c r="G138" s="19" t="s">
        <v>59</v>
      </c>
      <c r="H138" s="19" t="s">
        <v>99</v>
      </c>
      <c r="I138" s="19" t="s">
        <v>100</v>
      </c>
      <c r="J138" s="19"/>
      <c r="K138" s="19" t="s">
        <v>99</v>
      </c>
      <c r="L138" s="19" t="s">
        <v>40</v>
      </c>
      <c r="M138" s="19" t="s">
        <v>99</v>
      </c>
      <c r="N138" s="19" t="s">
        <v>100</v>
      </c>
      <c r="R138" s="20" t="s">
        <v>107</v>
      </c>
      <c r="S138" s="20" t="s">
        <v>40</v>
      </c>
      <c r="T138" s="20" t="s">
        <v>108</v>
      </c>
      <c r="W138" t="s">
        <v>118</v>
      </c>
    </row>
    <row r="139" spans="2:27">
      <c r="B139" s="19" t="s">
        <v>104</v>
      </c>
      <c r="C139" s="19" t="s">
        <v>103</v>
      </c>
      <c r="D139" s="19" t="s">
        <v>101</v>
      </c>
      <c r="E139" s="19" t="s">
        <v>102</v>
      </c>
      <c r="F139" s="19" t="s">
        <v>99</v>
      </c>
      <c r="G139" s="19" t="s">
        <v>60</v>
      </c>
      <c r="H139" s="19" t="s">
        <v>99</v>
      </c>
      <c r="I139" s="19" t="s">
        <v>100</v>
      </c>
      <c r="J139" s="19"/>
      <c r="K139" s="19" t="s">
        <v>99</v>
      </c>
      <c r="L139" s="19" t="s">
        <v>41</v>
      </c>
      <c r="M139" s="19" t="s">
        <v>99</v>
      </c>
      <c r="N139" s="19" t="s">
        <v>100</v>
      </c>
      <c r="R139" s="20" t="s">
        <v>107</v>
      </c>
      <c r="S139" s="20" t="s">
        <v>41</v>
      </c>
      <c r="T139" s="20" t="s">
        <v>108</v>
      </c>
      <c r="W139" t="s">
        <v>119</v>
      </c>
    </row>
    <row r="140" spans="2:27">
      <c r="B140" s="19" t="s">
        <v>104</v>
      </c>
      <c r="C140" s="19" t="s">
        <v>103</v>
      </c>
      <c r="D140" s="19" t="s">
        <v>101</v>
      </c>
      <c r="E140" s="19" t="s">
        <v>102</v>
      </c>
      <c r="F140" s="19" t="s">
        <v>99</v>
      </c>
      <c r="G140" s="19" t="s">
        <v>61</v>
      </c>
      <c r="H140" s="19" t="s">
        <v>99</v>
      </c>
      <c r="I140" s="19" t="s">
        <v>100</v>
      </c>
      <c r="J140" s="19"/>
      <c r="K140" s="19" t="s">
        <v>99</v>
      </c>
      <c r="L140" s="19" t="s">
        <v>42</v>
      </c>
      <c r="M140" s="19" t="s">
        <v>99</v>
      </c>
      <c r="N140" s="19" t="s">
        <v>100</v>
      </c>
      <c r="R140" s="20" t="s">
        <v>107</v>
      </c>
      <c r="S140" s="20" t="s">
        <v>42</v>
      </c>
      <c r="T140" s="20" t="s">
        <v>108</v>
      </c>
      <c r="W140" t="s">
        <v>120</v>
      </c>
      <c r="Z140" s="20"/>
    </row>
    <row r="141" spans="2:27">
      <c r="B141" s="19" t="s">
        <v>104</v>
      </c>
      <c r="C141" s="19" t="s">
        <v>103</v>
      </c>
      <c r="D141" s="19" t="s">
        <v>101</v>
      </c>
      <c r="E141" s="19" t="s">
        <v>102</v>
      </c>
      <c r="F141" s="19" t="s">
        <v>99</v>
      </c>
      <c r="G141" s="19" t="s">
        <v>62</v>
      </c>
      <c r="H141" s="19" t="s">
        <v>99</v>
      </c>
      <c r="I141" s="19" t="s">
        <v>100</v>
      </c>
      <c r="J141" s="19"/>
      <c r="K141" s="19" t="s">
        <v>99</v>
      </c>
      <c r="L141" s="19" t="s">
        <v>43</v>
      </c>
      <c r="M141" s="19" t="s">
        <v>99</v>
      </c>
      <c r="N141" s="19" t="s">
        <v>100</v>
      </c>
      <c r="R141" s="20" t="s">
        <v>107</v>
      </c>
      <c r="S141" s="20" t="s">
        <v>43</v>
      </c>
      <c r="T141" s="20" t="s">
        <v>108</v>
      </c>
      <c r="W141" t="s">
        <v>121</v>
      </c>
      <c r="Z141" s="20"/>
    </row>
    <row r="142" spans="2:27">
      <c r="B142" s="19" t="s">
        <v>104</v>
      </c>
      <c r="C142" s="19" t="s">
        <v>103</v>
      </c>
      <c r="D142" s="19" t="s">
        <v>101</v>
      </c>
      <c r="E142" s="19" t="s">
        <v>102</v>
      </c>
      <c r="F142" s="19" t="s">
        <v>99</v>
      </c>
      <c r="G142" s="19" t="s">
        <v>63</v>
      </c>
      <c r="H142" s="19" t="s">
        <v>99</v>
      </c>
      <c r="I142" s="19" t="s">
        <v>100</v>
      </c>
      <c r="J142" s="19"/>
      <c r="K142" s="19" t="s">
        <v>99</v>
      </c>
      <c r="L142" s="19" t="s">
        <v>44</v>
      </c>
      <c r="M142" s="19" t="s">
        <v>99</v>
      </c>
      <c r="N142" s="19" t="s">
        <v>100</v>
      </c>
      <c r="R142" s="20" t="s">
        <v>107</v>
      </c>
      <c r="S142" s="20" t="s">
        <v>44</v>
      </c>
      <c r="T142" s="20" t="s">
        <v>108</v>
      </c>
      <c r="W142" t="s">
        <v>122</v>
      </c>
      <c r="Z142" s="20"/>
    </row>
    <row r="143" spans="2:27">
      <c r="B143" s="19" t="s">
        <v>104</v>
      </c>
      <c r="C143" s="19" t="s">
        <v>103</v>
      </c>
      <c r="D143" s="19" t="s">
        <v>101</v>
      </c>
      <c r="E143" s="19" t="s">
        <v>102</v>
      </c>
      <c r="F143" s="19" t="s">
        <v>99</v>
      </c>
      <c r="G143" s="19" t="s">
        <v>64</v>
      </c>
      <c r="H143" s="19" t="s">
        <v>99</v>
      </c>
      <c r="I143" s="19" t="s">
        <v>100</v>
      </c>
      <c r="J143" s="19"/>
      <c r="K143" s="19" t="s">
        <v>99</v>
      </c>
      <c r="L143" s="19" t="s">
        <v>45</v>
      </c>
      <c r="M143" s="19" t="s">
        <v>99</v>
      </c>
      <c r="N143" s="19" t="s">
        <v>100</v>
      </c>
      <c r="R143" s="20" t="s">
        <v>107</v>
      </c>
      <c r="S143" s="20" t="s">
        <v>45</v>
      </c>
      <c r="T143" s="20" t="s">
        <v>108</v>
      </c>
      <c r="W143" t="s">
        <v>123</v>
      </c>
      <c r="Z143" s="20"/>
    </row>
    <row r="144" spans="2:27">
      <c r="B144" s="19" t="s">
        <v>104</v>
      </c>
      <c r="C144" s="19" t="s">
        <v>103</v>
      </c>
      <c r="D144" s="19" t="s">
        <v>101</v>
      </c>
      <c r="E144" s="19" t="s">
        <v>102</v>
      </c>
      <c r="F144" s="19" t="s">
        <v>99</v>
      </c>
      <c r="G144" s="19" t="s">
        <v>88</v>
      </c>
      <c r="H144" s="19" t="s">
        <v>99</v>
      </c>
      <c r="I144" s="19" t="s">
        <v>100</v>
      </c>
      <c r="J144" s="19"/>
      <c r="K144" s="19" t="s">
        <v>99</v>
      </c>
      <c r="L144" s="19" t="s">
        <v>49</v>
      </c>
      <c r="M144" s="19" t="s">
        <v>99</v>
      </c>
      <c r="N144" s="19" t="s">
        <v>100</v>
      </c>
      <c r="R144" s="20" t="s">
        <v>107</v>
      </c>
      <c r="S144" s="20" t="s">
        <v>49</v>
      </c>
      <c r="T144" s="20" t="s">
        <v>108</v>
      </c>
      <c r="W144" t="s">
        <v>124</v>
      </c>
      <c r="Z144" s="20"/>
    </row>
    <row r="145" spans="2:26">
      <c r="B145" s="19" t="s">
        <v>104</v>
      </c>
      <c r="C145" s="19" t="s">
        <v>103</v>
      </c>
      <c r="D145" s="19" t="s">
        <v>101</v>
      </c>
      <c r="E145" s="19" t="s">
        <v>102</v>
      </c>
      <c r="F145" s="19" t="s">
        <v>99</v>
      </c>
      <c r="G145" s="19" t="s">
        <v>65</v>
      </c>
      <c r="H145" s="19" t="s">
        <v>99</v>
      </c>
      <c r="I145" s="19" t="s">
        <v>100</v>
      </c>
      <c r="J145" s="19"/>
      <c r="K145" s="19" t="s">
        <v>99</v>
      </c>
      <c r="L145" s="19" t="s">
        <v>39</v>
      </c>
      <c r="M145" s="19" t="s">
        <v>99</v>
      </c>
      <c r="N145" s="19" t="s">
        <v>100</v>
      </c>
      <c r="R145" s="20" t="s">
        <v>107</v>
      </c>
      <c r="S145" s="20" t="s">
        <v>39</v>
      </c>
      <c r="T145" s="20" t="s">
        <v>108</v>
      </c>
      <c r="W145" t="s">
        <v>113</v>
      </c>
      <c r="Z145" s="20"/>
    </row>
    <row r="146" spans="2:26">
      <c r="B146" s="19" t="s">
        <v>104</v>
      </c>
      <c r="C146" s="19" t="s">
        <v>103</v>
      </c>
      <c r="D146" s="19" t="s">
        <v>101</v>
      </c>
      <c r="E146" s="19" t="s">
        <v>102</v>
      </c>
      <c r="F146" s="19" t="s">
        <v>99</v>
      </c>
      <c r="G146" s="19" t="s">
        <v>66</v>
      </c>
      <c r="H146" s="19" t="s">
        <v>99</v>
      </c>
      <c r="I146" s="19" t="s">
        <v>100</v>
      </c>
      <c r="J146" s="19"/>
      <c r="K146" s="19" t="s">
        <v>99</v>
      </c>
      <c r="L146" s="19" t="s">
        <v>39</v>
      </c>
      <c r="M146" s="19" t="s">
        <v>99</v>
      </c>
      <c r="N146" s="19" t="s">
        <v>100</v>
      </c>
      <c r="R146" s="20" t="s">
        <v>107</v>
      </c>
      <c r="S146" s="20" t="s">
        <v>39</v>
      </c>
      <c r="T146" s="20" t="s">
        <v>108</v>
      </c>
      <c r="W146" t="s">
        <v>113</v>
      </c>
    </row>
    <row r="147" spans="2:26">
      <c r="B147" s="19" t="s">
        <v>104</v>
      </c>
      <c r="C147" s="19" t="s">
        <v>103</v>
      </c>
      <c r="D147" s="19" t="s">
        <v>101</v>
      </c>
      <c r="E147" s="19" t="s">
        <v>102</v>
      </c>
      <c r="F147" s="19" t="s">
        <v>99</v>
      </c>
      <c r="G147" s="19" t="s">
        <v>67</v>
      </c>
      <c r="H147" s="19" t="s">
        <v>99</v>
      </c>
      <c r="I147" s="19" t="s">
        <v>100</v>
      </c>
      <c r="J147" s="19"/>
      <c r="K147" s="19" t="s">
        <v>99</v>
      </c>
      <c r="L147" s="19" t="s">
        <v>47</v>
      </c>
      <c r="M147" s="19" t="s">
        <v>99</v>
      </c>
      <c r="N147" s="19" t="s">
        <v>100</v>
      </c>
      <c r="R147" s="20" t="s">
        <v>107</v>
      </c>
      <c r="S147" s="20" t="s">
        <v>47</v>
      </c>
      <c r="T147" s="20" t="s">
        <v>108</v>
      </c>
      <c r="W147" t="s">
        <v>125</v>
      </c>
    </row>
    <row r="148" spans="2:26">
      <c r="B148" s="19" t="s">
        <v>104</v>
      </c>
      <c r="C148" s="19" t="s">
        <v>103</v>
      </c>
      <c r="D148" s="19" t="s">
        <v>101</v>
      </c>
      <c r="E148" s="19" t="s">
        <v>102</v>
      </c>
      <c r="F148" s="19" t="s">
        <v>99</v>
      </c>
      <c r="G148" s="19" t="s">
        <v>68</v>
      </c>
      <c r="H148" s="19" t="s">
        <v>99</v>
      </c>
      <c r="I148" s="19" t="s">
        <v>100</v>
      </c>
      <c r="J148" s="19"/>
      <c r="K148" s="19" t="s">
        <v>99</v>
      </c>
      <c r="L148" s="19" t="s">
        <v>48</v>
      </c>
      <c r="M148" s="19" t="s">
        <v>99</v>
      </c>
      <c r="N148" s="19" t="s">
        <v>100</v>
      </c>
      <c r="R148" s="20" t="s">
        <v>107</v>
      </c>
      <c r="S148" s="20" t="s">
        <v>48</v>
      </c>
      <c r="T148" s="20" t="s">
        <v>108</v>
      </c>
      <c r="W148" t="s">
        <v>126</v>
      </c>
    </row>
    <row r="149" spans="2:26">
      <c r="B149" s="19" t="s">
        <v>104</v>
      </c>
      <c r="C149" s="19" t="s">
        <v>103</v>
      </c>
      <c r="D149" s="19" t="s">
        <v>101</v>
      </c>
      <c r="E149" s="19" t="s">
        <v>102</v>
      </c>
      <c r="F149" s="19" t="s">
        <v>99</v>
      </c>
      <c r="G149" s="19" t="s">
        <v>69</v>
      </c>
      <c r="H149" s="19" t="s">
        <v>99</v>
      </c>
      <c r="I149" s="19" t="s">
        <v>100</v>
      </c>
      <c r="J149" s="19"/>
      <c r="K149" s="19" t="s">
        <v>99</v>
      </c>
      <c r="L149" s="19" t="s">
        <v>49</v>
      </c>
      <c r="M149" s="19" t="s">
        <v>99</v>
      </c>
      <c r="N149" s="19" t="s">
        <v>100</v>
      </c>
      <c r="R149" s="20" t="s">
        <v>107</v>
      </c>
      <c r="S149" s="20" t="s">
        <v>49</v>
      </c>
      <c r="T149" s="20" t="s">
        <v>108</v>
      </c>
      <c r="W149" t="s">
        <v>124</v>
      </c>
    </row>
    <row r="150" spans="2:26">
      <c r="B150" s="19" t="s">
        <v>104</v>
      </c>
      <c r="C150" s="19" t="s">
        <v>103</v>
      </c>
      <c r="D150" s="19" t="s">
        <v>101</v>
      </c>
      <c r="E150" s="19" t="s">
        <v>102</v>
      </c>
      <c r="F150" s="19" t="s">
        <v>99</v>
      </c>
      <c r="G150" s="19" t="s">
        <v>70</v>
      </c>
      <c r="H150" s="19" t="s">
        <v>99</v>
      </c>
      <c r="I150" s="19" t="s">
        <v>100</v>
      </c>
      <c r="J150" s="19"/>
      <c r="K150" s="19" t="s">
        <v>99</v>
      </c>
      <c r="L150" s="19" t="s">
        <v>39</v>
      </c>
      <c r="M150" s="19" t="s">
        <v>99</v>
      </c>
      <c r="N150" s="19" t="s">
        <v>100</v>
      </c>
      <c r="R150" s="20" t="s">
        <v>107</v>
      </c>
      <c r="S150" s="20" t="s">
        <v>39</v>
      </c>
      <c r="T150" s="20" t="s">
        <v>108</v>
      </c>
      <c r="W150" t="s">
        <v>113</v>
      </c>
    </row>
    <row r="151" spans="2:26">
      <c r="B151" s="19" t="s">
        <v>104</v>
      </c>
      <c r="C151" s="19" t="s">
        <v>103</v>
      </c>
      <c r="D151" s="19" t="s">
        <v>101</v>
      </c>
      <c r="E151" s="19" t="s">
        <v>102</v>
      </c>
      <c r="F151" s="19" t="s">
        <v>99</v>
      </c>
      <c r="G151" s="19" t="s">
        <v>79</v>
      </c>
      <c r="H151" s="19" t="s">
        <v>99</v>
      </c>
      <c r="I151" s="19" t="s">
        <v>100</v>
      </c>
      <c r="J151" s="19"/>
      <c r="K151" s="19" t="s">
        <v>99</v>
      </c>
      <c r="L151" s="19" t="s">
        <v>75</v>
      </c>
      <c r="M151" s="19" t="s">
        <v>99</v>
      </c>
      <c r="N151" s="19" t="s">
        <v>100</v>
      </c>
      <c r="R151" s="20" t="s">
        <v>107</v>
      </c>
      <c r="S151" s="20" t="s">
        <v>75</v>
      </c>
      <c r="T151" s="20" t="s">
        <v>108</v>
      </c>
      <c r="W151" t="s">
        <v>127</v>
      </c>
    </row>
    <row r="152" spans="2:26">
      <c r="B152" s="19" t="s">
        <v>104</v>
      </c>
      <c r="C152" s="19" t="s">
        <v>103</v>
      </c>
      <c r="D152" s="19" t="s">
        <v>101</v>
      </c>
      <c r="E152" s="19" t="s">
        <v>102</v>
      </c>
      <c r="F152" s="19" t="s">
        <v>99</v>
      </c>
      <c r="G152" s="19" t="s">
        <v>80</v>
      </c>
      <c r="H152" s="19" t="s">
        <v>99</v>
      </c>
      <c r="I152" s="19" t="s">
        <v>100</v>
      </c>
      <c r="J152" s="19"/>
      <c r="K152" s="19" t="s">
        <v>99</v>
      </c>
      <c r="L152" s="19" t="s">
        <v>76</v>
      </c>
      <c r="M152" s="19" t="s">
        <v>99</v>
      </c>
      <c r="N152" s="19" t="s">
        <v>100</v>
      </c>
      <c r="R152" s="20" t="s">
        <v>107</v>
      </c>
      <c r="S152" s="20" t="s">
        <v>76</v>
      </c>
      <c r="T152" s="20" t="s">
        <v>108</v>
      </c>
      <c r="W152" t="s">
        <v>128</v>
      </c>
    </row>
    <row r="153" spans="2:26">
      <c r="B153" s="19" t="s">
        <v>104</v>
      </c>
      <c r="C153" s="19" t="s">
        <v>103</v>
      </c>
      <c r="D153" s="19" t="s">
        <v>101</v>
      </c>
      <c r="E153" s="19" t="s">
        <v>102</v>
      </c>
      <c r="F153" s="19" t="s">
        <v>99</v>
      </c>
      <c r="G153" s="19" t="s">
        <v>81</v>
      </c>
      <c r="H153" s="19" t="s">
        <v>99</v>
      </c>
      <c r="I153" s="19" t="s">
        <v>100</v>
      </c>
      <c r="J153" s="19"/>
      <c r="K153" s="19" t="s">
        <v>99</v>
      </c>
      <c r="L153" s="19" t="s">
        <v>84</v>
      </c>
      <c r="M153" s="19" t="s">
        <v>99</v>
      </c>
      <c r="N153" s="19" t="s">
        <v>100</v>
      </c>
      <c r="R153" s="20" t="s">
        <v>107</v>
      </c>
      <c r="S153" s="20" t="s">
        <v>84</v>
      </c>
      <c r="T153" s="20" t="s">
        <v>108</v>
      </c>
      <c r="W153" t="s">
        <v>129</v>
      </c>
    </row>
    <row r="154" spans="2:26">
      <c r="B154" s="19" t="s">
        <v>104</v>
      </c>
      <c r="C154" s="19" t="s">
        <v>103</v>
      </c>
      <c r="D154" s="19" t="s">
        <v>101</v>
      </c>
      <c r="E154" s="19" t="s">
        <v>102</v>
      </c>
      <c r="F154" s="19" t="s">
        <v>99</v>
      </c>
      <c r="G154" s="19" t="s">
        <v>85</v>
      </c>
      <c r="H154" s="19" t="s">
        <v>99</v>
      </c>
      <c r="I154" s="19" t="s">
        <v>100</v>
      </c>
      <c r="J154" s="19"/>
      <c r="K154" s="19" t="s">
        <v>99</v>
      </c>
      <c r="L154" s="19" t="s">
        <v>77</v>
      </c>
      <c r="M154" s="19" t="s">
        <v>99</v>
      </c>
      <c r="N154" s="19" t="s">
        <v>100</v>
      </c>
      <c r="R154" s="20" t="s">
        <v>107</v>
      </c>
      <c r="S154" s="20" t="s">
        <v>77</v>
      </c>
      <c r="T154" s="20" t="s">
        <v>108</v>
      </c>
      <c r="W154" t="s">
        <v>130</v>
      </c>
      <c r="Z154" s="20"/>
    </row>
    <row r="155" spans="2:26">
      <c r="B155" s="19" t="s">
        <v>104</v>
      </c>
      <c r="C155" s="19" t="s">
        <v>103</v>
      </c>
      <c r="D155" s="19" t="s">
        <v>101</v>
      </c>
      <c r="E155" s="19" t="s">
        <v>102</v>
      </c>
      <c r="F155" s="19" t="s">
        <v>99</v>
      </c>
      <c r="G155" s="19" t="s">
        <v>83</v>
      </c>
      <c r="H155" s="19" t="s">
        <v>99</v>
      </c>
      <c r="I155" s="19" t="s">
        <v>100</v>
      </c>
      <c r="J155" s="19"/>
      <c r="K155" s="19" t="s">
        <v>99</v>
      </c>
      <c r="L155" s="19" t="s">
        <v>78</v>
      </c>
      <c r="M155" s="19" t="s">
        <v>99</v>
      </c>
      <c r="N155" s="19" t="s">
        <v>100</v>
      </c>
      <c r="R155" s="20" t="s">
        <v>107</v>
      </c>
      <c r="S155" s="20" t="s">
        <v>78</v>
      </c>
      <c r="T155" s="20" t="s">
        <v>108</v>
      </c>
      <c r="W155" t="s">
        <v>131</v>
      </c>
      <c r="Z155" s="20"/>
    </row>
    <row r="156" spans="2:26">
      <c r="B156" s="19" t="s">
        <v>104</v>
      </c>
      <c r="C156" s="19" t="s">
        <v>103</v>
      </c>
      <c r="D156" s="19" t="s">
        <v>101</v>
      </c>
      <c r="E156" s="19" t="s">
        <v>102</v>
      </c>
      <c r="F156" s="19" t="s">
        <v>99</v>
      </c>
      <c r="G156" s="19" t="s">
        <v>82</v>
      </c>
      <c r="H156" s="19" t="s">
        <v>99</v>
      </c>
      <c r="I156" s="19" t="s">
        <v>100</v>
      </c>
      <c r="J156" s="19"/>
      <c r="K156" s="19" t="s">
        <v>99</v>
      </c>
      <c r="L156" s="19" t="s">
        <v>39</v>
      </c>
      <c r="M156" s="19" t="s">
        <v>99</v>
      </c>
      <c r="N156" s="19" t="s">
        <v>100</v>
      </c>
      <c r="R156" s="20" t="s">
        <v>107</v>
      </c>
      <c r="S156" s="20" t="s">
        <v>39</v>
      </c>
      <c r="T156" s="20" t="s">
        <v>108</v>
      </c>
      <c r="W156" t="s">
        <v>113</v>
      </c>
      <c r="Z156" s="20"/>
    </row>
    <row r="157" spans="2:26">
      <c r="B157" s="19" t="s">
        <v>104</v>
      </c>
      <c r="C157" s="19" t="s">
        <v>103</v>
      </c>
      <c r="D157" s="19" t="s">
        <v>101</v>
      </c>
      <c r="E157" s="19" t="s">
        <v>102</v>
      </c>
      <c r="F157" s="19" t="s">
        <v>99</v>
      </c>
      <c r="G157" s="19" t="s">
        <v>94</v>
      </c>
      <c r="H157" s="19" t="s">
        <v>99</v>
      </c>
      <c r="I157" s="19" t="s">
        <v>100</v>
      </c>
      <c r="J157" s="19"/>
      <c r="K157" s="19" t="s">
        <v>99</v>
      </c>
      <c r="L157" s="19" t="s">
        <v>90</v>
      </c>
      <c r="M157" s="19" t="s">
        <v>99</v>
      </c>
      <c r="N157" s="19" t="s">
        <v>100</v>
      </c>
      <c r="R157" s="20" t="s">
        <v>107</v>
      </c>
      <c r="S157" s="20" t="s">
        <v>90</v>
      </c>
      <c r="T157" s="20" t="s">
        <v>108</v>
      </c>
      <c r="W157" t="s">
        <v>132</v>
      </c>
    </row>
    <row r="158" spans="2:26">
      <c r="B158" s="19" t="s">
        <v>104</v>
      </c>
      <c r="C158" s="19" t="s">
        <v>103</v>
      </c>
      <c r="D158" s="19" t="s">
        <v>101</v>
      </c>
      <c r="E158" s="19" t="s">
        <v>102</v>
      </c>
      <c r="F158" s="19" t="s">
        <v>99</v>
      </c>
      <c r="G158" s="19" t="s">
        <v>95</v>
      </c>
      <c r="H158" s="19" t="s">
        <v>99</v>
      </c>
      <c r="I158" s="19" t="s">
        <v>100</v>
      </c>
      <c r="J158" s="19"/>
      <c r="K158" s="19" t="s">
        <v>99</v>
      </c>
      <c r="L158" s="19" t="s">
        <v>91</v>
      </c>
      <c r="M158" s="19" t="s">
        <v>99</v>
      </c>
      <c r="N158" s="19" t="s">
        <v>100</v>
      </c>
      <c r="R158" s="20" t="s">
        <v>107</v>
      </c>
      <c r="S158" s="20" t="s">
        <v>91</v>
      </c>
      <c r="T158" s="20" t="s">
        <v>108</v>
      </c>
      <c r="W158" t="s">
        <v>133</v>
      </c>
    </row>
    <row r="159" spans="2:26">
      <c r="B159" s="19" t="s">
        <v>104</v>
      </c>
      <c r="C159" s="19" t="s">
        <v>103</v>
      </c>
      <c r="D159" s="19" t="s">
        <v>101</v>
      </c>
      <c r="E159" s="19" t="s">
        <v>102</v>
      </c>
      <c r="F159" s="19" t="s">
        <v>99</v>
      </c>
      <c r="G159" s="19" t="s">
        <v>96</v>
      </c>
      <c r="H159" s="19" t="s">
        <v>99</v>
      </c>
      <c r="I159" s="19" t="s">
        <v>100</v>
      </c>
      <c r="J159" s="19"/>
      <c r="K159" s="19" t="s">
        <v>99</v>
      </c>
      <c r="L159" s="19" t="s">
        <v>92</v>
      </c>
      <c r="M159" s="19" t="s">
        <v>99</v>
      </c>
      <c r="N159" s="19" t="s">
        <v>100</v>
      </c>
      <c r="R159" s="20" t="s">
        <v>107</v>
      </c>
      <c r="S159" s="20" t="s">
        <v>92</v>
      </c>
      <c r="T159" s="20" t="s">
        <v>108</v>
      </c>
      <c r="W159" t="s">
        <v>134</v>
      </c>
      <c r="Z159" s="20"/>
    </row>
    <row r="160" spans="2:26">
      <c r="B160" s="19" t="s">
        <v>104</v>
      </c>
      <c r="C160" s="19" t="s">
        <v>103</v>
      </c>
      <c r="D160" s="19" t="s">
        <v>101</v>
      </c>
      <c r="E160" s="19" t="s">
        <v>102</v>
      </c>
      <c r="F160" s="19" t="s">
        <v>99</v>
      </c>
      <c r="G160" s="19" t="s">
        <v>97</v>
      </c>
      <c r="H160" s="19" t="s">
        <v>99</v>
      </c>
      <c r="I160" s="19" t="s">
        <v>100</v>
      </c>
      <c r="J160" s="19"/>
      <c r="K160" s="19" t="s">
        <v>99</v>
      </c>
      <c r="L160" s="19" t="s">
        <v>93</v>
      </c>
      <c r="M160" s="19" t="s">
        <v>99</v>
      </c>
      <c r="N160" s="19" t="s">
        <v>100</v>
      </c>
      <c r="R160" s="20" t="s">
        <v>107</v>
      </c>
      <c r="S160" s="20" t="s">
        <v>39</v>
      </c>
      <c r="T160" s="20" t="s">
        <v>108</v>
      </c>
      <c r="W160" t="s">
        <v>113</v>
      </c>
      <c r="Z160" s="20"/>
    </row>
    <row r="161" spans="2:26">
      <c r="B161" s="19" t="s">
        <v>104</v>
      </c>
      <c r="C161" s="19" t="s">
        <v>103</v>
      </c>
      <c r="D161" s="19" t="s">
        <v>101</v>
      </c>
      <c r="E161" s="19" t="s">
        <v>102</v>
      </c>
      <c r="F161" s="19" t="s">
        <v>99</v>
      </c>
      <c r="G161" s="19" t="s">
        <v>28</v>
      </c>
      <c r="H161" s="19" t="s">
        <v>99</v>
      </c>
      <c r="I161" s="19" t="s">
        <v>100</v>
      </c>
      <c r="J161" s="19"/>
      <c r="K161" s="19" t="s">
        <v>99</v>
      </c>
      <c r="L161" s="19" t="s">
        <v>29</v>
      </c>
      <c r="M161" s="19" t="s">
        <v>99</v>
      </c>
      <c r="N161" s="19" t="s">
        <v>100</v>
      </c>
      <c r="R161" s="20" t="s">
        <v>107</v>
      </c>
      <c r="S161" s="20" t="s">
        <v>29</v>
      </c>
      <c r="T161" s="20" t="s">
        <v>108</v>
      </c>
      <c r="W161" t="s">
        <v>135</v>
      </c>
    </row>
    <row r="162" spans="2:26">
      <c r="B162" s="19" t="s">
        <v>104</v>
      </c>
      <c r="C162" s="19" t="s">
        <v>103</v>
      </c>
      <c r="D162" s="19" t="s">
        <v>101</v>
      </c>
      <c r="E162" s="19" t="s">
        <v>102</v>
      </c>
      <c r="F162" s="19" t="s">
        <v>99</v>
      </c>
      <c r="G162" s="19" t="s">
        <v>72</v>
      </c>
      <c r="H162" s="19" t="s">
        <v>99</v>
      </c>
      <c r="I162" s="19" t="s">
        <v>100</v>
      </c>
      <c r="J162" s="19"/>
      <c r="K162" s="19" t="s">
        <v>99</v>
      </c>
      <c r="L162" s="19" t="s">
        <v>71</v>
      </c>
      <c r="M162" s="19" t="s">
        <v>99</v>
      </c>
      <c r="N162" s="19" t="s">
        <v>100</v>
      </c>
      <c r="R162" s="20" t="s">
        <v>107</v>
      </c>
      <c r="S162" s="20" t="s">
        <v>71</v>
      </c>
      <c r="T162" s="20" t="s">
        <v>108</v>
      </c>
      <c r="W162" t="s">
        <v>136</v>
      </c>
      <c r="Z162" s="20"/>
    </row>
    <row r="163" spans="2:26">
      <c r="B163" s="19" t="s">
        <v>104</v>
      </c>
      <c r="C163" s="19" t="s">
        <v>103</v>
      </c>
      <c r="D163" s="19" t="s">
        <v>101</v>
      </c>
      <c r="E163" s="19" t="s">
        <v>102</v>
      </c>
      <c r="F163" s="19" t="s">
        <v>99</v>
      </c>
      <c r="G163" s="19" t="s">
        <v>73</v>
      </c>
      <c r="H163" s="19" t="s">
        <v>99</v>
      </c>
      <c r="I163" s="19" t="s">
        <v>100</v>
      </c>
      <c r="J163" s="19"/>
      <c r="K163" s="19" t="s">
        <v>99</v>
      </c>
      <c r="L163" s="19" t="s">
        <v>39</v>
      </c>
      <c r="M163" s="19" t="s">
        <v>99</v>
      </c>
      <c r="N163" s="19" t="s">
        <v>100</v>
      </c>
      <c r="R163" s="20" t="s">
        <v>107</v>
      </c>
      <c r="S163" s="20" t="s">
        <v>39</v>
      </c>
      <c r="T163" s="20" t="s">
        <v>108</v>
      </c>
      <c r="W163" t="s">
        <v>113</v>
      </c>
    </row>
    <row r="164" spans="2:26">
      <c r="B164" s="19" t="s">
        <v>105</v>
      </c>
      <c r="C164" s="19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検索</vt:lpstr>
      <vt:lpstr>財産管理</vt:lpstr>
      <vt:lpstr>基金</vt:lpstr>
      <vt:lpstr>収入</vt:lpstr>
      <vt:lpstr>融資</vt:lpstr>
      <vt:lpstr>保守</vt:lpstr>
      <vt:lpstr>一時保管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2018-04-04T14:10:24Z</dcterms:modified>
</cp:coreProperties>
</file>